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и и цены" sheetId="1" state="visible" r:id="rId3"/>
    <sheet name="Ценообразование" sheetId="2" state="visible" r:id="rId4"/>
    <sheet name="Unit-экономика" sheetId="3" state="visible" r:id="rId5"/>
    <sheet name="Маркетинг 25K" sheetId="4" state="visible" r:id="rId6"/>
    <sheet name="Маркетинг 100K" sheetId="5" state="visible" r:id="rId7"/>
    <sheet name="Реферальная программа" sheetId="6" state="visible" r:id="rId8"/>
    <sheet name="Стратегия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<sst xmlns="http://schemas.openxmlformats.org/spreadsheetml/2006/main" count="451" uniqueCount="290">
  <si>
    <t xml:space="preserve">Тир</t>
  </si>
  <si>
    <t xml:space="preserve">Модель (kie.ai)</t>
  </si>
  <si>
    <t xml:space="preserve">Стоимость USD</t>
  </si>
  <si>
    <t xml:space="preserve">Стоимость RUB</t>
  </si>
  <si>
    <t xml:space="preserve">Цена Photix (₽)</t>
  </si>
  <si>
    <t xml:space="preserve">Наценка %</t>
  </si>
  <si>
    <t xml:space="preserve">Маржа %</t>
  </si>
  <si>
    <t xml:space="preserve">Photo Standard</t>
  </si>
  <si>
    <t xml:space="preserve">Google Imagen4 Fast</t>
  </si>
  <si>
    <t xml:space="preserve">Midjourney Relaxed</t>
  </si>
  <si>
    <t xml:space="preserve">Grok-imagine (img2img)</t>
  </si>
  <si>
    <t xml:space="preserve">Grok-imagine (txt2img)</t>
  </si>
  <si>
    <t xml:space="preserve">Google nano banana edit</t>
  </si>
  <si>
    <t xml:space="preserve">GPT Image Medium</t>
  </si>
  <si>
    <t xml:space="preserve">Ideogram v3 Turbo</t>
  </si>
  <si>
    <t xml:space="preserve">Qwen Image</t>
  </si>
  <si>
    <t xml:space="preserve">seedream 5.0 Lite</t>
  </si>
  <si>
    <t xml:space="preserve">Photo Pro</t>
  </si>
  <si>
    <t xml:space="preserve">Google nano banana 2 — 1K</t>
  </si>
  <si>
    <t xml:space="preserve">Midjourney Fast</t>
  </si>
  <si>
    <t xml:space="preserve">OpenAI 4o Image</t>
  </si>
  <si>
    <t xml:space="preserve">Flux-2 Pro 1K</t>
  </si>
  <si>
    <t xml:space="preserve">Flux Kontext Pro</t>
  </si>
  <si>
    <t xml:space="preserve">Ideogram v3 Balanced</t>
  </si>
  <si>
    <t xml:space="preserve">Photo Ultra</t>
  </si>
  <si>
    <t xml:space="preserve">Google nano banana pro 1K/2K</t>
  </si>
  <si>
    <t xml:space="preserve">Google nano banana pro 4K</t>
  </si>
  <si>
    <t xml:space="preserve">Google nano banana 2 — 2K</t>
  </si>
  <si>
    <t xml:space="preserve">Google nano banana 2 — 4K</t>
  </si>
  <si>
    <t xml:space="preserve">Google Imagen4 Ultra</t>
  </si>
  <si>
    <t xml:space="preserve">Midjourney Turbo</t>
  </si>
  <si>
    <t xml:space="preserve">Flux Kontext Max</t>
  </si>
  <si>
    <t xml:space="preserve">Ideogram v3 Quality</t>
  </si>
  <si>
    <t xml:space="preserve">GPT Image High</t>
  </si>
  <si>
    <t xml:space="preserve">Ideogram Character</t>
  </si>
  <si>
    <t xml:space="preserve">Photo Утилиты</t>
  </si>
  <si>
    <t xml:space="preserve">Recraft Remove Background</t>
  </si>
  <si>
    <t xml:space="preserve">Video Animate</t>
  </si>
  <si>
    <t xml:space="preserve">Wan 2.2 Animate Move 480p</t>
  </si>
  <si>
    <t xml:space="preserve">Wan 2.2 Animate Replace 480p</t>
  </si>
  <si>
    <t xml:space="preserve">Wan 2.2 Animate Move 580p</t>
  </si>
  <si>
    <t xml:space="preserve">Wan 2.2 Animate Replace 580p</t>
  </si>
  <si>
    <t xml:space="preserve">Wan 2.2 Animate Move 720p</t>
  </si>
  <si>
    <t xml:space="preserve">Wan 2.2 Animate Replace 720p</t>
  </si>
  <si>
    <t xml:space="preserve">Kling 2.6 Motion Control 720P</t>
  </si>
  <si>
    <t xml:space="preserve">Kling 2.6 Motion Control 1080P</t>
  </si>
  <si>
    <t xml:space="preserve">Video Standard</t>
  </si>
  <si>
    <t xml:space="preserve">Grok-imagine vid txt2vid 6s 480p</t>
  </si>
  <si>
    <t xml:space="preserve">Grok-imagine vid img2vid 6s 480p</t>
  </si>
  <si>
    <t xml:space="preserve">Grok-imagine vid txt2vid 6s 720p</t>
  </si>
  <si>
    <t xml:space="preserve">Grok-imagine vid img2vid 6s 720p</t>
  </si>
  <si>
    <t xml:space="preserve">Grok-imagine vid txt2vid 10s 480p</t>
  </si>
  <si>
    <t xml:space="preserve">Grok-imagine vid img2vid 10s 480p</t>
  </si>
  <si>
    <t xml:space="preserve">Grok-imagine vid txt2vid 10s 720p</t>
  </si>
  <si>
    <t xml:space="preserve">Kling 3.0 без аудио 720P</t>
  </si>
  <si>
    <t xml:space="preserve">Kling 3.0 без аудио 1080P</t>
  </si>
  <si>
    <t xml:space="preserve">Kling 3.0 с аудио 720P</t>
  </si>
  <si>
    <t xml:space="preserve">Kling 3.0 с аудио 1080P</t>
  </si>
  <si>
    <t xml:space="preserve">Sora 2 Standard txt2vid 10s</t>
  </si>
  <si>
    <t xml:space="preserve">Sora 2 Standard img2vid 10s</t>
  </si>
  <si>
    <t xml:space="preserve">Sora 2 Standard 15s</t>
  </si>
  <si>
    <t xml:space="preserve">Sora 2 Stable 10s</t>
  </si>
  <si>
    <t xml:space="preserve">Hailuo Standard 6s</t>
  </si>
  <si>
    <t xml:space="preserve">Hailuo I2V Standard</t>
  </si>
  <si>
    <t xml:space="preserve">Veo 3.1 Get 1080P Video</t>
  </si>
  <si>
    <t xml:space="preserve">Video Pro</t>
  </si>
  <si>
    <t xml:space="preserve">Kling 2.5 Turbo 5s</t>
  </si>
  <si>
    <t xml:space="preserve">Kling 2.5 Turbo 10s</t>
  </si>
  <si>
    <t xml:space="preserve">Kling 2.6 без аудио 5s</t>
  </si>
  <si>
    <t xml:space="preserve">Kling 2.6 с аудио 5s</t>
  </si>
  <si>
    <t xml:space="preserve">Kling 2.6 без аудио 10s</t>
  </si>
  <si>
    <t xml:space="preserve">Midjourney img2vid</t>
  </si>
  <si>
    <t xml:space="preserve">Veo 3.1 Fast 8s</t>
  </si>
  <si>
    <t xml:space="preserve">Veo 3.1 ref2vid Fast</t>
  </si>
  <si>
    <t xml:space="preserve">Veo 3.1 Extend Fast</t>
  </si>
  <si>
    <t xml:space="preserve">Veo 3.1 Get 4K Video</t>
  </si>
  <si>
    <t xml:space="preserve">Wan 2.5 txt2vid 5s 1080p</t>
  </si>
  <si>
    <t xml:space="preserve">Wan 2.5 txt2vid 10s 720p</t>
  </si>
  <si>
    <t xml:space="preserve">Wan 2.6 vid2vid 5s 1080p</t>
  </si>
  <si>
    <t xml:space="preserve">Video Ultra</t>
  </si>
  <si>
    <t xml:space="preserve">Wan 2.6 vid2vid 10s 720p</t>
  </si>
  <si>
    <t xml:space="preserve">Wan 2.6 img2vid 10s 1080p</t>
  </si>
  <si>
    <t xml:space="preserve">Wan 2.6 vid2vid 10s 1080p</t>
  </si>
  <si>
    <t xml:space="preserve">Wan 2.6 vid2vid 15s 720p</t>
  </si>
  <si>
    <t xml:space="preserve">Wan 2.6 img2vid 15s 1080p</t>
  </si>
  <si>
    <t xml:space="preserve">Wan 2.6 vid2vid 15s 1080p</t>
  </si>
  <si>
    <t xml:space="preserve">Sora 2 Pro Standard 10s</t>
  </si>
  <si>
    <t xml:space="preserve">Sora 2 Pro Standard 15s</t>
  </si>
  <si>
    <t xml:space="preserve">Sora 2 Pro High 10s</t>
  </si>
  <si>
    <t xml:space="preserve">Sora 2 Pro High 15s</t>
  </si>
  <si>
    <t xml:space="preserve">Kling 2.6 с аудио 10s</t>
  </si>
  <si>
    <t xml:space="preserve">Kling 2.6 img2vid с аудио 10s</t>
  </si>
  <si>
    <t xml:space="preserve">Veo 3.1 Quality 8s</t>
  </si>
  <si>
    <t xml:space="preserve">Veo 3.1 Extend Quality</t>
  </si>
  <si>
    <t xml:space="preserve">КУРС USD/RUB</t>
  </si>
  <si>
    <t xml:space="preserve">СВОДКА ПО ТИРАМ</t>
  </si>
  <si>
    <t xml:space="preserve">Моделей</t>
  </si>
  <si>
    <t xml:space="preserve">Мин. себест. (₽)</t>
  </si>
  <si>
    <t xml:space="preserve">Макс. себест. (₽)</t>
  </si>
  <si>
    <t xml:space="preserve">Цена (₽)</t>
  </si>
  <si>
    <t xml:space="preserve">Мин. наценка</t>
  </si>
  <si>
    <t xml:space="preserve">Цена за 1 (₽)</t>
  </si>
  <si>
    <t xml:space="preserve">Пакет</t>
  </si>
  <si>
    <t xml:space="preserve">Цена пакета</t>
  </si>
  <si>
    <t xml:space="preserve">Скидка</t>
  </si>
  <si>
    <t xml:space="preserve">ДОПУЩЕНИЯ</t>
  </si>
  <si>
    <t xml:space="preserve">Значение</t>
  </si>
  <si>
    <t xml:space="preserve">Комментарий</t>
  </si>
  <si>
    <t xml:space="preserve">Средний чек (фото)</t>
  </si>
  <si>
    <t xml:space="preserve">Пакет Photo Pro x10</t>
  </si>
  <si>
    <t xml:space="preserve">Средний чек (видео)</t>
  </si>
  <si>
    <t xml:space="preserve">Пакет Video Standard x10</t>
  </si>
  <si>
    <t xml:space="preserve">Средний чек (смешанный)</t>
  </si>
  <si>
    <t xml:space="preserve">Взвешенное среднее</t>
  </si>
  <si>
    <t xml:space="preserve">Конверсия визит → регистрация</t>
  </si>
  <si>
    <t xml:space="preserve">TG Mini App</t>
  </si>
  <si>
    <t xml:space="preserve">Конверсия рег → 1я покупка</t>
  </si>
  <si>
    <t xml:space="preserve">8% freemium</t>
  </si>
  <si>
    <t xml:space="preserve">Конверсия 1я → повторная</t>
  </si>
  <si>
    <t xml:space="preserve">40% возвращаются</t>
  </si>
  <si>
    <t xml:space="preserve">Покупок за 6 мес (среднее)</t>
  </si>
  <si>
    <t xml:space="preserve">Включая первую</t>
  </si>
  <si>
    <t xml:space="preserve">Доля реферального трафика</t>
  </si>
  <si>
    <t xml:space="preserve">30% регистраций</t>
  </si>
  <si>
    <t xml:space="preserve">Реф. комиссия обычная</t>
  </si>
  <si>
    <t xml:space="preserve">15% навсегда</t>
  </si>
  <si>
    <t xml:space="preserve">Реф. комиссия блогер</t>
  </si>
  <si>
    <t xml:space="preserve">20% навсегда</t>
  </si>
  <si>
    <t xml:space="preserve">Ср. себестоимость генерации ₽</t>
  </si>
  <si>
    <t xml:space="preserve">При курсе 75₽/$</t>
  </si>
  <si>
    <t xml:space="preserve">Генераций на 1 покупку</t>
  </si>
  <si>
    <t xml:space="preserve">Смешанный пакет</t>
  </si>
  <si>
    <t xml:space="preserve">Курс USD/RUB</t>
  </si>
  <si>
    <t xml:space="preserve">Текущий курс</t>
  </si>
  <si>
    <t xml:space="preserve">LTV РАСЧЁТ</t>
  </si>
  <si>
    <t xml:space="preserve">Формула</t>
  </si>
  <si>
    <t xml:space="preserve">LTV выручка (6 мес)</t>
  </si>
  <si>
    <t xml:space="preserve">Ср.чек × покупок = 249×3.5</t>
  </si>
  <si>
    <t xml:space="preserve">LTV выручка (12 мес)</t>
  </si>
  <si>
    <t xml:space="preserve">×1.6 годовой коэфф.</t>
  </si>
  <si>
    <t xml:space="preserve">Себест. на покупателя (6м)</t>
  </si>
  <si>
    <t xml:space="preserve">Себест × генераций × покупок</t>
  </si>
  <si>
    <t xml:space="preserve">Валовая прибыль / покупатель</t>
  </si>
  <si>
    <t xml:space="preserve">LTV - себестоимость</t>
  </si>
  <si>
    <t xml:space="preserve">Реф. выплата на покупателя</t>
  </si>
  <si>
    <t xml:space="preserve">30% рефералов × ср. 17.5%</t>
  </si>
  <si>
    <t xml:space="preserve">Чистая прибыль / покупатель</t>
  </si>
  <si>
    <t xml:space="preserve">Валовая - реф.выплаты</t>
  </si>
  <si>
    <t xml:space="preserve">25 000 ПОЛЬЗОВАТЕЛЕЙ | Бюджет 200К₽/мес | Курс 75₽/$</t>
  </si>
  <si>
    <t xml:space="preserve">Ограничение</t>
  </si>
  <si>
    <t xml:space="preserve">Макс. бюджет маркетинга</t>
  </si>
  <si>
    <t xml:space="preserve">200 000 ₽/мес</t>
  </si>
  <si>
    <t xml:space="preserve">Прямые расходы</t>
  </si>
  <si>
    <t xml:space="preserve">Блогеры</t>
  </si>
  <si>
    <t xml:space="preserve">0₽ upfront</t>
  </si>
  <si>
    <t xml:space="preserve">Только 20% рефералка</t>
  </si>
  <si>
    <t xml:space="preserve">Реф. программа юзеры</t>
  </si>
  <si>
    <t xml:space="preserve">15% lifetime</t>
  </si>
  <si>
    <t xml:space="preserve">Из выручки</t>
  </si>
  <si>
    <t xml:space="preserve">Курс</t>
  </si>
  <si>
    <t xml:space="preserve">75 ₽/$</t>
  </si>
  <si>
    <t xml:space="preserve">Канал</t>
  </si>
  <si>
    <t xml:space="preserve">Бюджет/мес</t>
  </si>
  <si>
    <t xml:space="preserve">Бюджет 6м</t>
  </si>
  <si>
    <t xml:space="preserve">Тип</t>
  </si>
  <si>
    <t xml:space="preserve">Рег./мес</t>
  </si>
  <si>
    <t xml:space="preserve">Рег. 6м</t>
  </si>
  <si>
    <t xml:space="preserve">Conv%</t>
  </si>
  <si>
    <t xml:space="preserve">Покупатели</t>
  </si>
  <si>
    <t xml:space="preserve">Выручка 6м</t>
  </si>
  <si>
    <t xml:space="preserve">Блогеры (рефералка 20%)</t>
  </si>
  <si>
    <t xml:space="preserve">20% ref</t>
  </si>
  <si>
    <t xml:space="preserve">Посев TG-каналы</t>
  </si>
  <si>
    <t xml:space="preserve">Платно</t>
  </si>
  <si>
    <t xml:space="preserve">Telegram Ads</t>
  </si>
  <si>
    <t xml:space="preserve">Reels/TikTok органика</t>
  </si>
  <si>
    <t xml:space="preserve">Рефералы (юзеры 15%)</t>
  </si>
  <si>
    <t xml:space="preserve">15% ref</t>
  </si>
  <si>
    <t xml:space="preserve">Органика/сарафан</t>
  </si>
  <si>
    <t xml:space="preserve">Орг</t>
  </si>
  <si>
    <t xml:space="preserve">VK/Яндекс тест</t>
  </si>
  <si>
    <t xml:space="preserve">ИТОГО</t>
  </si>
  <si>
    <t xml:space="preserve">P&amp;L — 25K (6 мес)</t>
  </si>
  <si>
    <t xml:space="preserve">Сумма (₽)</t>
  </si>
  <si>
    <t xml:space="preserve">% выручки</t>
  </si>
  <si>
    <t xml:space="preserve">Выручка (6 мес)</t>
  </si>
  <si>
    <t xml:space="preserve">Себестоимость генераций</t>
  </si>
  <si>
    <t xml:space="preserve">Валовая прибыль</t>
  </si>
  <si>
    <t xml:space="preserve">Валовая маржа %</t>
  </si>
  <si>
    <t xml:space="preserve">Маркетинг прямой (6м)</t>
  </si>
  <si>
    <t xml:space="preserve">Реф. выплаты юзерам</t>
  </si>
  <si>
    <t xml:space="preserve">Реф. выплаты блогерам</t>
  </si>
  <si>
    <t xml:space="preserve">ИТОГО привлечение</t>
  </si>
  <si>
    <t xml:space="preserve">Операционная прибыль</t>
  </si>
  <si>
    <t xml:space="preserve">Операционная маржа %</t>
  </si>
  <si>
    <t xml:space="preserve">CAC blended</t>
  </si>
  <si>
    <t xml:space="preserve">LTV на покупателя</t>
  </si>
  <si>
    <t xml:space="preserve">LTV/CAC</t>
  </si>
  <si>
    <t xml:space="preserve">Payback (мес)</t>
  </si>
  <si>
    <t xml:space="preserve">100 000 ПОЛЬЗОВАТЕЛЕЙ | Фаза 1: 200К/мес → Фаза 2: 400К/мес | Курс 75₽/$</t>
  </si>
  <si>
    <t xml:space="preserve">ФАЗА 1: Месяцы 1-6 (200К/мес)</t>
  </si>
  <si>
    <t xml:space="preserve">ИТОГО Фаза 1</t>
  </si>
  <si>
    <t xml:space="preserve">ФАЗА 2: Месяцы 7-12 (400К/мес из прибыли)</t>
  </si>
  <si>
    <t xml:space="preserve">Блогеры (рефералка + топы)</t>
  </si>
  <si>
    <t xml:space="preserve">20%+фикс</t>
  </si>
  <si>
    <t xml:space="preserve">Посев TG-каналы масштаб</t>
  </si>
  <si>
    <t xml:space="preserve">Telegram Ads масштаб</t>
  </si>
  <si>
    <t xml:space="preserve">Reels/TikTok платное</t>
  </si>
  <si>
    <t xml:space="preserve">Рефералы (рост базы)</t>
  </si>
  <si>
    <t xml:space="preserve">Органика/SEO</t>
  </si>
  <si>
    <t xml:space="preserve">VK/Яндекс Директ</t>
  </si>
  <si>
    <t xml:space="preserve">ИТОГО Фаза 2</t>
  </si>
  <si>
    <t xml:space="preserve">ИТОГО 12 МЕСЯЦЕВ</t>
  </si>
  <si>
    <t xml:space="preserve">P&amp;L — 100K (12 мес)</t>
  </si>
  <si>
    <t xml:space="preserve">Выручка (12 мес)</t>
  </si>
  <si>
    <t xml:space="preserve">Маркетинг прямой (12м)</t>
  </si>
  <si>
    <t xml:space="preserve">Реф. юзерам (15%)</t>
  </si>
  <si>
    <t xml:space="preserve">Реф. блогерам (20%)</t>
  </si>
  <si>
    <t xml:space="preserve">ЭКОНОМИКА РЕФЕРАЛЬНОЙ ПРОГРАММЫ</t>
  </si>
  <si>
    <t xml:space="preserve">Параметр</t>
  </si>
  <si>
    <t xml:space="preserve">Обычный реферал</t>
  </si>
  <si>
    <t xml:space="preserve">Блогер</t>
  </si>
  <si>
    <t xml:space="preserve">Комиссия</t>
  </si>
  <si>
    <t xml:space="preserve">15%</t>
  </si>
  <si>
    <t xml:space="preserve">20%</t>
  </si>
  <si>
    <t xml:space="preserve">Навсегда от покупок реферала</t>
  </si>
  <si>
    <t xml:space="preserve">Выплата в</t>
  </si>
  <si>
    <t xml:space="preserve">Кредиты</t>
  </si>
  <si>
    <t xml:space="preserve">Кредиты/деньги</t>
  </si>
  <si>
    <t xml:space="preserve">Блогерам — опция вывода</t>
  </si>
  <si>
    <t xml:space="preserve">Ср. покупка реферала (₽)</t>
  </si>
  <si>
    <t xml:space="preserve">Одинаковый средний чек</t>
  </si>
  <si>
    <t xml:space="preserve">Покупок за 6 мес</t>
  </si>
  <si>
    <t xml:space="preserve">LTV реферала (₽)</t>
  </si>
  <si>
    <t xml:space="preserve">Выручка с 1 реферала</t>
  </si>
  <si>
    <t xml:space="preserve">Комиссия с 1 реферала (₽)</t>
  </si>
  <si>
    <t xml:space="preserve">За 6 мес</t>
  </si>
  <si>
    <t xml:space="preserve">Себестоимость привлечения</t>
  </si>
  <si>
    <t xml:space="preserve">0</t>
  </si>
  <si>
    <t xml:space="preserve">Нет прямых затрат</t>
  </si>
  <si>
    <t xml:space="preserve">Эффективный CPA (₽)</t>
  </si>
  <si>
    <t xml:space="preserve">CPA = комиссия</t>
  </si>
  <si>
    <t xml:space="preserve">ROI программы</t>
  </si>
  <si>
    <t xml:space="preserve">Выручка/затраты - 1</t>
  </si>
  <si>
    <t xml:space="preserve">СЦЕНАРИЙ: 25K пользователей</t>
  </si>
  <si>
    <t xml:space="preserve">Всего регистраций</t>
  </si>
  <si>
    <t xml:space="preserve">Из них рефералы (30%)</t>
  </si>
  <si>
    <t xml:space="preserve">5000 обычных + 2500 блогерских</t>
  </si>
  <si>
    <t xml:space="preserve">Покупатели из рефералов (10%)</t>
  </si>
  <si>
    <t xml:space="preserve">Конверсия выше — доверие</t>
  </si>
  <si>
    <t xml:space="preserve">Выручка с рефералов (6м)</t>
  </si>
  <si>
    <t xml:space="preserve">Реферальные выплаты (6м)</t>
  </si>
  <si>
    <t xml:space="preserve">Средневзвеш. 17.5%</t>
  </si>
  <si>
    <t xml:space="preserve">Чистая выручка с реф. канала</t>
  </si>
  <si>
    <t xml:space="preserve">После выплат</t>
  </si>
  <si>
    <t xml:space="preserve">СЦЕНАРИЙ: 100K пользователей</t>
  </si>
  <si>
    <t xml:space="preserve">Выручка с рефералов (12м)</t>
  </si>
  <si>
    <t xml:space="preserve">×1.6 для 12 мес</t>
  </si>
  <si>
    <t xml:space="preserve">Реферальные выплаты (12м)</t>
  </si>
  <si>
    <t xml:space="preserve">СТРАТЕГИЯ ПРОДВИЖЕНИЯ PHOTIX</t>
  </si>
  <si>
    <t xml:space="preserve">1. ПОЗИЦИОНИРОВАНИЕ</t>
  </si>
  <si>
    <t xml:space="preserve">Photix — премиум AI-генерация фото и видео в Telegram.</t>
  </si>
  <si>
    <t xml:space="preserve">Не дешёвый массовый бот, а качественный сервис с галереей для вдохновения.</t>
  </si>
  <si>
    <t xml:space="preserve">2. ТАРИФНАЯ СЕТКА</t>
  </si>
  <si>
    <t xml:space="preserve">Photo: Standard 9₽ / Pro 19₽ / Ultra 35₽</t>
  </si>
  <si>
    <t xml:space="preserve">Наценка 350-480%</t>
  </si>
  <si>
    <t xml:space="preserve">Video: Animate 15₽ / Standard 59₽ / Pro 149₽ / Ultra 349₽</t>
  </si>
  <si>
    <t xml:space="preserve">Наценка 200-440%</t>
  </si>
  <si>
    <t xml:space="preserve">Пакеты со скидкой 10-30% для стимулирования bulk-покупок</t>
  </si>
  <si>
    <t xml:space="preserve">3. ФАЗЫ ЗАПУСКА</t>
  </si>
  <si>
    <t xml:space="preserve">Фаза 1 (Месяц 1-2): Seed</t>
  </si>
  <si>
    <t xml:space="preserve">Бюджет: 200-300K₽</t>
  </si>
  <si>
    <t xml:space="preserve">- 10-15 микро-блогеров (5-30K подписчиков)</t>
  </si>
  <si>
    <t xml:space="preserve">- Посев в 20-30 тематических TG-каналов</t>
  </si>
  <si>
    <t xml:space="preserve">- Запуск реферальной программы 15%</t>
  </si>
  <si>
    <t xml:space="preserve">Фаза 2 (Месяц 3-4): Growth</t>
  </si>
  <si>
    <t xml:space="preserve">Бюджет: 500-800K₽</t>
  </si>
  <si>
    <t xml:space="preserve">- Масштабирование блогеров (20% комиссия lifetime)</t>
  </si>
  <si>
    <t xml:space="preserve">- Telegram Ads запуск</t>
  </si>
  <si>
    <t xml:space="preserve">- Контент-маркетинг (Reels, TikTok, Shorts)</t>
  </si>
  <si>
    <t xml:space="preserve">Фаза 3 (Месяц 5-6): Scale</t>
  </si>
  <si>
    <t xml:space="preserve">Бюджет: 1-2M₽</t>
  </si>
  <si>
    <t xml:space="preserve">- Крупные блогеры (50-200K подписчиков)</t>
  </si>
  <si>
    <t xml:space="preserve">- Яндекс Директ / VK Ads</t>
  </si>
  <si>
    <t xml:space="preserve">- PR и коллаборации</t>
  </si>
  <si>
    <t xml:space="preserve">4. КЛЮЧЕВЫЕ МЕТРИКИ</t>
  </si>
  <si>
    <t xml:space="preserve">Целевой CAC: &lt; 150₽ на покупателя</t>
  </si>
  <si>
    <t xml:space="preserve">Целевой LTV/CAC: &gt; 3.0x</t>
  </si>
  <si>
    <t xml:space="preserve">Целевая операционная маржа: &gt; 40%</t>
  </si>
  <si>
    <t xml:space="preserve">Payback period: &lt; 2 месяца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</si>
</sst>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00"/>
    <numFmt numFmtId="166" formatCode="#,##0.00&quot; ₽&quot;"/>
    <numFmt numFmtId="167" formatCode="#,##0&quot; ₽&quot;"/>
    <numFmt numFmtId="168" formatCode="0%"/>
    <numFmt numFmtId="169" formatCode="0.0%"/>
    <numFmt numFmtId="170" formatCode="#,##0&quot; ₽&quot;"/>
    <numFmt numFmtId="171" formatCode="#,##0.0"/>
    <numFmt numFmtId="172" formatCode="#,##0"/>
    <numFmt numFmtId="173" formatCode="0.0\x"/>
    <numFmt numFmtId="174" formatCode="0.0&quot; мес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8DAEF"/>
      </patternFill>
    </fill>
    <fill>
      <patternFill patternType="solid">
        <fgColor rgb="FFE2EFDA"/>
        <bgColor rgb="FFD5F5E3"/>
      </patternFill>
    </fill>
    <fill>
      <patternFill patternType="solid">
        <fgColor rgb="FFFCE4D6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E8DAEF"/>
        <bgColor rgb="FFFADBD8"/>
      </patternFill>
    </fill>
    <fill>
      <patternFill patternType="solid">
        <fgColor rgb="FFD5F5E3"/>
        <bgColor rgb="FFE2EFDA"/>
      </patternFill>
    </fill>
    <fill>
      <patternFill patternType="solid">
        <fgColor rgb="FFFDEBD0"/>
        <bgColor rgb="FFFFF2CC"/>
      </patternFill>
    </fill>
    <fill>
      <patternFill patternType="solid">
        <fgColor rgb="FFFADBD8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000000"/>
        <bgColor rgb="FF003300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FCE4D6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BF8F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5" min="3" style="1" width="16"/>
    <col collapsed="false" customWidth="true" hidden="false" outlineLevel="0" max="7" min="6" style="1" width="14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4" t="s">
        <v>8</v>
      </c>
      <c r="C2" s="5" t="n">
        <v>0.02</v>
      </c>
      <c r="D2" s="6" t="n">
        <f aca="false">C2*75</f>
        <v>1.5</v>
      </c>
      <c r="E2" s="7" t="n">
        <v>9</v>
      </c>
      <c r="F2" s="8" t="n">
        <f aca="false">(E2-D2)/D2</f>
        <v>5</v>
      </c>
      <c r="G2" s="9" t="n">
        <f aca="false">(E2-D2)/E2</f>
        <v>0.833333333333333</v>
      </c>
    </row>
    <row r="3" customFormat="false" ht="15" hidden="false" customHeight="true" outlineLevel="0" collapsed="false">
      <c r="A3" s="3" t="s">
        <v>7</v>
      </c>
      <c r="B3" s="4" t="s">
        <v>9</v>
      </c>
      <c r="C3" s="5" t="n">
        <v>0.015</v>
      </c>
      <c r="D3" s="6" t="n">
        <f aca="false">C3*75</f>
        <v>1.125</v>
      </c>
      <c r="E3" s="7" t="n">
        <v>9</v>
      </c>
      <c r="F3" s="8" t="n">
        <f aca="false">(E3-D3)/D3</f>
        <v>7</v>
      </c>
      <c r="G3" s="9" t="n">
        <f aca="false">(E3-D3)/E3</f>
        <v>0.875</v>
      </c>
    </row>
    <row r="4" customFormat="false" ht="15" hidden="false" customHeight="true" outlineLevel="0" collapsed="false">
      <c r="A4" s="3" t="s">
        <v>7</v>
      </c>
      <c r="B4" s="4" t="s">
        <v>10</v>
      </c>
      <c r="C4" s="5" t="n">
        <v>0.02</v>
      </c>
      <c r="D4" s="6" t="n">
        <f aca="false">C4*75</f>
        <v>1.5</v>
      </c>
      <c r="E4" s="7" t="n">
        <v>9</v>
      </c>
      <c r="F4" s="8" t="n">
        <f aca="false">(E4-D4)/D4</f>
        <v>5</v>
      </c>
      <c r="G4" s="9" t="n">
        <f aca="false">(E4-D4)/E4</f>
        <v>0.833333333333333</v>
      </c>
    </row>
    <row r="5" customFormat="false" ht="15" hidden="false" customHeight="true" outlineLevel="0" collapsed="false">
      <c r="A5" s="3" t="s">
        <v>7</v>
      </c>
      <c r="B5" s="4" t="s">
        <v>11</v>
      </c>
      <c r="C5" s="5" t="n">
        <v>0.024</v>
      </c>
      <c r="D5" s="6" t="n">
        <f aca="false">C5*75</f>
        <v>1.8</v>
      </c>
      <c r="E5" s="7" t="n">
        <v>9</v>
      </c>
      <c r="F5" s="8" t="n">
        <f aca="false">(E5-D5)/D5</f>
        <v>4</v>
      </c>
      <c r="G5" s="9" t="n">
        <f aca="false">(E5-D5)/E5</f>
        <v>0.8</v>
      </c>
    </row>
    <row r="6" customFormat="false" ht="15" hidden="false" customHeight="true" outlineLevel="0" collapsed="false">
      <c r="A6" s="3" t="s">
        <v>7</v>
      </c>
      <c r="B6" s="4" t="s">
        <v>12</v>
      </c>
      <c r="C6" s="5" t="n">
        <v>0.029</v>
      </c>
      <c r="D6" s="6" t="n">
        <f aca="false">C6*75</f>
        <v>2.175</v>
      </c>
      <c r="E6" s="7" t="n">
        <v>9</v>
      </c>
      <c r="F6" s="8" t="n">
        <f aca="false">(E6-D6)/D6</f>
        <v>3.13793103448276</v>
      </c>
      <c r="G6" s="9" t="n">
        <f aca="false">(E6-D6)/E6</f>
        <v>0.758333333333333</v>
      </c>
    </row>
    <row r="7" customFormat="false" ht="15" hidden="false" customHeight="true" outlineLevel="0" collapsed="false">
      <c r="A7" s="3" t="s">
        <v>7</v>
      </c>
      <c r="B7" s="4" t="s">
        <v>13</v>
      </c>
      <c r="C7" s="5" t="n">
        <v>0.02</v>
      </c>
      <c r="D7" s="6" t="n">
        <f aca="false">C7*75</f>
        <v>1.5</v>
      </c>
      <c r="E7" s="7" t="n">
        <v>9</v>
      </c>
      <c r="F7" s="8" t="n">
        <f aca="false">(E7-D7)/D7</f>
        <v>5</v>
      </c>
      <c r="G7" s="9" t="n">
        <f aca="false">(E7-D7)/E7</f>
        <v>0.833333333333333</v>
      </c>
    </row>
    <row r="8" customFormat="false" ht="15" hidden="false" customHeight="true" outlineLevel="0" collapsed="false">
      <c r="A8" s="3" t="s">
        <v>7</v>
      </c>
      <c r="B8" s="4" t="s">
        <v>14</v>
      </c>
      <c r="C8" s="5" t="n">
        <v>0.0175</v>
      </c>
      <c r="D8" s="6" t="n">
        <f aca="false">C8*75</f>
        <v>1.3125</v>
      </c>
      <c r="E8" s="7" t="n">
        <v>9</v>
      </c>
      <c r="F8" s="8" t="n">
        <f aca="false">(E8-D8)/D8</f>
        <v>5.85714285714286</v>
      </c>
      <c r="G8" s="9" t="n">
        <f aca="false">(E8-D8)/E8</f>
        <v>0.854166666666667</v>
      </c>
    </row>
    <row r="9" customFormat="false" ht="15" hidden="false" customHeight="true" outlineLevel="0" collapsed="false">
      <c r="A9" s="3" t="s">
        <v>7</v>
      </c>
      <c r="B9" s="4" t="s">
        <v>15</v>
      </c>
      <c r="C9" s="5" t="n">
        <v>0.02</v>
      </c>
      <c r="D9" s="6" t="n">
        <f aca="false">C9*75</f>
        <v>1.5</v>
      </c>
      <c r="E9" s="7" t="n">
        <v>9</v>
      </c>
      <c r="F9" s="8" t="n">
        <f aca="false">(E9-D9)/D9</f>
        <v>5</v>
      </c>
      <c r="G9" s="9" t="n">
        <f aca="false">(E9-D9)/E9</f>
        <v>0.833333333333333</v>
      </c>
    </row>
    <row r="10" customFormat="false" ht="15" hidden="false" customHeight="true" outlineLevel="0" collapsed="false">
      <c r="A10" s="3" t="s">
        <v>7</v>
      </c>
      <c r="B10" s="4" t="s">
        <v>16</v>
      </c>
      <c r="C10" s="5" t="n">
        <v>0.0275</v>
      </c>
      <c r="D10" s="6" t="n">
        <f aca="false">C10*75</f>
        <v>2.0625</v>
      </c>
      <c r="E10" s="7" t="n">
        <v>9</v>
      </c>
      <c r="F10" s="8" t="n">
        <f aca="false">(E10-D10)/D10</f>
        <v>3.36363636363636</v>
      </c>
      <c r="G10" s="9" t="n">
        <f aca="false">(E10-D10)/E10</f>
        <v>0.770833333333333</v>
      </c>
    </row>
    <row r="11" customFormat="false" ht="15" hidden="false" customHeight="true" outlineLevel="0" collapsed="false">
      <c r="A11" s="10" t="s">
        <v>17</v>
      </c>
      <c r="B11" s="4" t="s">
        <v>18</v>
      </c>
      <c r="C11" s="5" t="n">
        <v>0.04</v>
      </c>
      <c r="D11" s="6" t="n">
        <f aca="false">C11*75</f>
        <v>3</v>
      </c>
      <c r="E11" s="7" t="n">
        <v>19</v>
      </c>
      <c r="F11" s="8" t="n">
        <f aca="false">(E11-D11)/D11</f>
        <v>5.33333333333333</v>
      </c>
      <c r="G11" s="9" t="n">
        <f aca="false">(E11-D11)/E11</f>
        <v>0.842105263157895</v>
      </c>
    </row>
    <row r="12" customFormat="false" ht="15" hidden="false" customHeight="true" outlineLevel="0" collapsed="false">
      <c r="A12" s="10" t="s">
        <v>17</v>
      </c>
      <c r="B12" s="4" t="s">
        <v>19</v>
      </c>
      <c r="C12" s="5" t="n">
        <v>0.04</v>
      </c>
      <c r="D12" s="6" t="n">
        <f aca="false">C12*75</f>
        <v>3</v>
      </c>
      <c r="E12" s="7" t="n">
        <v>19</v>
      </c>
      <c r="F12" s="8" t="n">
        <f aca="false">(E12-D12)/D12</f>
        <v>5.33333333333333</v>
      </c>
      <c r="G12" s="9" t="n">
        <f aca="false">(E12-D12)/E12</f>
        <v>0.842105263157895</v>
      </c>
    </row>
    <row r="13" customFormat="false" ht="15" hidden="false" customHeight="true" outlineLevel="0" collapsed="false">
      <c r="A13" s="10" t="s">
        <v>17</v>
      </c>
      <c r="B13" s="4" t="s">
        <v>20</v>
      </c>
      <c r="C13" s="5" t="n">
        <v>0.035</v>
      </c>
      <c r="D13" s="6" t="n">
        <f aca="false">C13*75</f>
        <v>2.625</v>
      </c>
      <c r="E13" s="7" t="n">
        <v>19</v>
      </c>
      <c r="F13" s="8" t="n">
        <f aca="false">(E13-D13)/D13</f>
        <v>6.23809523809524</v>
      </c>
      <c r="G13" s="9" t="n">
        <f aca="false">(E13-D13)/E13</f>
        <v>0.861842105263158</v>
      </c>
    </row>
    <row r="14" customFormat="false" ht="15" hidden="false" customHeight="true" outlineLevel="0" collapsed="false">
      <c r="A14" s="10" t="s">
        <v>17</v>
      </c>
      <c r="B14" s="4" t="s">
        <v>21</v>
      </c>
      <c r="C14" s="5" t="n">
        <v>0.025</v>
      </c>
      <c r="D14" s="6" t="n">
        <f aca="false">C14*75</f>
        <v>1.875</v>
      </c>
      <c r="E14" s="7" t="n">
        <v>19</v>
      </c>
      <c r="F14" s="8" t="n">
        <f aca="false">(E14-D14)/D14</f>
        <v>9.13333333333333</v>
      </c>
      <c r="G14" s="9" t="n">
        <f aca="false">(E14-D14)/E14</f>
        <v>0.901315789473684</v>
      </c>
    </row>
    <row r="15" customFormat="false" ht="15" hidden="false" customHeight="true" outlineLevel="0" collapsed="false">
      <c r="A15" s="10" t="s">
        <v>17</v>
      </c>
      <c r="B15" s="4" t="s">
        <v>22</v>
      </c>
      <c r="C15" s="5" t="n">
        <v>0.025</v>
      </c>
      <c r="D15" s="6" t="n">
        <f aca="false">C15*75</f>
        <v>1.875</v>
      </c>
      <c r="E15" s="7" t="n">
        <v>19</v>
      </c>
      <c r="F15" s="8" t="n">
        <f aca="false">(E15-D15)/D15</f>
        <v>9.13333333333333</v>
      </c>
      <c r="G15" s="9" t="n">
        <f aca="false">(E15-D15)/E15</f>
        <v>0.901315789473684</v>
      </c>
    </row>
    <row r="16" customFormat="false" ht="15" hidden="false" customHeight="true" outlineLevel="0" collapsed="false">
      <c r="A16" s="10" t="s">
        <v>17</v>
      </c>
      <c r="B16" s="4" t="s">
        <v>23</v>
      </c>
      <c r="C16" s="5" t="n">
        <v>0.035</v>
      </c>
      <c r="D16" s="6" t="n">
        <f aca="false">C16*75</f>
        <v>2.625</v>
      </c>
      <c r="E16" s="7" t="n">
        <v>19</v>
      </c>
      <c r="F16" s="8" t="n">
        <f aca="false">(E16-D16)/D16</f>
        <v>6.23809523809524</v>
      </c>
      <c r="G16" s="9" t="n">
        <f aca="false">(E16-D16)/E16</f>
        <v>0.861842105263158</v>
      </c>
    </row>
    <row r="17" customFormat="false" ht="15" hidden="false" customHeight="true" outlineLevel="0" collapsed="false">
      <c r="A17" s="11" t="s">
        <v>24</v>
      </c>
      <c r="B17" s="4" t="s">
        <v>25</v>
      </c>
      <c r="C17" s="5" t="n">
        <v>0.09</v>
      </c>
      <c r="D17" s="6" t="n">
        <f aca="false">C17*75</f>
        <v>6.75</v>
      </c>
      <c r="E17" s="7" t="n">
        <v>35</v>
      </c>
      <c r="F17" s="8" t="n">
        <f aca="false">(E17-D17)/D17</f>
        <v>4.18518518518519</v>
      </c>
      <c r="G17" s="9" t="n">
        <f aca="false">(E17-D17)/E17</f>
        <v>0.807142857142857</v>
      </c>
    </row>
    <row r="18" customFormat="false" ht="15" hidden="false" customHeight="true" outlineLevel="0" collapsed="false">
      <c r="A18" s="11" t="s">
        <v>24</v>
      </c>
      <c r="B18" s="4" t="s">
        <v>26</v>
      </c>
      <c r="C18" s="5" t="n">
        <v>0.12</v>
      </c>
      <c r="D18" s="6" t="n">
        <f aca="false">C18*75</f>
        <v>9</v>
      </c>
      <c r="E18" s="7" t="n">
        <v>35</v>
      </c>
      <c r="F18" s="8" t="n">
        <f aca="false">(E18-D18)/D18</f>
        <v>2.88888888888889</v>
      </c>
      <c r="G18" s="9" t="n">
        <f aca="false">(E18-D18)/E18</f>
        <v>0.742857142857143</v>
      </c>
    </row>
    <row r="19" customFormat="false" ht="15" hidden="false" customHeight="true" outlineLevel="0" collapsed="false">
      <c r="A19" s="11" t="s">
        <v>24</v>
      </c>
      <c r="B19" s="4" t="s">
        <v>27</v>
      </c>
      <c r="C19" s="5" t="n">
        <v>0.06</v>
      </c>
      <c r="D19" s="6" t="n">
        <f aca="false">C19*75</f>
        <v>4.5</v>
      </c>
      <c r="E19" s="7" t="n">
        <v>35</v>
      </c>
      <c r="F19" s="8" t="n">
        <f aca="false">(E19-D19)/D19</f>
        <v>6.77777777777778</v>
      </c>
      <c r="G19" s="9" t="n">
        <f aca="false">(E19-D19)/E19</f>
        <v>0.871428571428571</v>
      </c>
    </row>
    <row r="20" customFormat="false" ht="15" hidden="false" customHeight="true" outlineLevel="0" collapsed="false">
      <c r="A20" s="11" t="s">
        <v>24</v>
      </c>
      <c r="B20" s="4" t="s">
        <v>28</v>
      </c>
      <c r="C20" s="5" t="n">
        <v>0.092</v>
      </c>
      <c r="D20" s="6" t="n">
        <f aca="false">C20*75</f>
        <v>6.9</v>
      </c>
      <c r="E20" s="7" t="n">
        <v>35</v>
      </c>
      <c r="F20" s="8" t="n">
        <f aca="false">(E20-D20)/D20</f>
        <v>4.07246376811594</v>
      </c>
      <c r="G20" s="9" t="n">
        <f aca="false">(E20-D20)/E20</f>
        <v>0.802857142857143</v>
      </c>
    </row>
    <row r="21" customFormat="false" ht="15" hidden="false" customHeight="true" outlineLevel="0" collapsed="false">
      <c r="A21" s="11" t="s">
        <v>24</v>
      </c>
      <c r="B21" s="4" t="s">
        <v>29</v>
      </c>
      <c r="C21" s="5" t="n">
        <v>0.068</v>
      </c>
      <c r="D21" s="6" t="n">
        <f aca="false">C21*75</f>
        <v>5.1</v>
      </c>
      <c r="E21" s="7" t="n">
        <v>35</v>
      </c>
      <c r="F21" s="8" t="n">
        <f aca="false">(E21-D21)/D21</f>
        <v>5.86274509803921</v>
      </c>
      <c r="G21" s="9" t="n">
        <f aca="false">(E21-D21)/E21</f>
        <v>0.854285714285714</v>
      </c>
    </row>
    <row r="22" customFormat="false" ht="15" hidden="false" customHeight="true" outlineLevel="0" collapsed="false">
      <c r="A22" s="11" t="s">
        <v>24</v>
      </c>
      <c r="B22" s="4" t="s">
        <v>30</v>
      </c>
      <c r="C22" s="5" t="n">
        <v>0.08</v>
      </c>
      <c r="D22" s="6" t="n">
        <f aca="false">C22*75</f>
        <v>6</v>
      </c>
      <c r="E22" s="7" t="n">
        <v>35</v>
      </c>
      <c r="F22" s="8" t="n">
        <f aca="false">(E22-D22)/D22</f>
        <v>4.83333333333333</v>
      </c>
      <c r="G22" s="9" t="n">
        <f aca="false">(E22-D22)/E22</f>
        <v>0.828571428571429</v>
      </c>
    </row>
    <row r="23" customFormat="false" ht="15" hidden="false" customHeight="true" outlineLevel="0" collapsed="false">
      <c r="A23" s="11" t="s">
        <v>24</v>
      </c>
      <c r="B23" s="4" t="s">
        <v>31</v>
      </c>
      <c r="C23" s="5" t="n">
        <v>0.05</v>
      </c>
      <c r="D23" s="6" t="n">
        <f aca="false">C23*75</f>
        <v>3.75</v>
      </c>
      <c r="E23" s="7" t="n">
        <v>35</v>
      </c>
      <c r="F23" s="8" t="n">
        <f aca="false">(E23-D23)/D23</f>
        <v>8.33333333333333</v>
      </c>
      <c r="G23" s="9" t="n">
        <f aca="false">(E23-D23)/E23</f>
        <v>0.892857142857143</v>
      </c>
    </row>
    <row r="24" customFormat="false" ht="15" hidden="false" customHeight="true" outlineLevel="0" collapsed="false">
      <c r="A24" s="11" t="s">
        <v>24</v>
      </c>
      <c r="B24" s="4" t="s">
        <v>32</v>
      </c>
      <c r="C24" s="5" t="n">
        <v>0.05</v>
      </c>
      <c r="D24" s="6" t="n">
        <f aca="false">C24*75</f>
        <v>3.75</v>
      </c>
      <c r="E24" s="7" t="n">
        <v>35</v>
      </c>
      <c r="F24" s="8" t="n">
        <f aca="false">(E24-D24)/D24</f>
        <v>8.33333333333333</v>
      </c>
      <c r="G24" s="9" t="n">
        <f aca="false">(E24-D24)/E24</f>
        <v>0.892857142857143</v>
      </c>
    </row>
    <row r="25" customFormat="false" ht="15" hidden="false" customHeight="true" outlineLevel="0" collapsed="false">
      <c r="A25" s="11" t="s">
        <v>24</v>
      </c>
      <c r="B25" s="4" t="s">
        <v>33</v>
      </c>
      <c r="C25" s="5" t="n">
        <v>0.11</v>
      </c>
      <c r="D25" s="6" t="n">
        <f aca="false">C25*75</f>
        <v>8.25</v>
      </c>
      <c r="E25" s="7" t="n">
        <v>35</v>
      </c>
      <c r="F25" s="8" t="n">
        <f aca="false">(E25-D25)/D25</f>
        <v>3.24242424242424</v>
      </c>
      <c r="G25" s="9" t="n">
        <f aca="false">(E25-D25)/E25</f>
        <v>0.764285714285714</v>
      </c>
    </row>
    <row r="26" customFormat="false" ht="15" hidden="false" customHeight="true" outlineLevel="0" collapsed="false">
      <c r="A26" s="11" t="s">
        <v>24</v>
      </c>
      <c r="B26" s="4" t="s">
        <v>34</v>
      </c>
      <c r="C26" s="5" t="n">
        <v>0.1</v>
      </c>
      <c r="D26" s="6" t="n">
        <f aca="false">C26*75</f>
        <v>7.5</v>
      </c>
      <c r="E26" s="7" t="n">
        <v>35</v>
      </c>
      <c r="F26" s="8" t="n">
        <f aca="false">(E26-D26)/D26</f>
        <v>3.66666666666667</v>
      </c>
      <c r="G26" s="9" t="n">
        <f aca="false">(E26-D26)/E26</f>
        <v>0.785714285714286</v>
      </c>
    </row>
    <row r="27" customFormat="false" ht="15" hidden="false" customHeight="true" outlineLevel="0" collapsed="false">
      <c r="A27" s="12" t="s">
        <v>35</v>
      </c>
      <c r="B27" s="4" t="s">
        <v>36</v>
      </c>
      <c r="C27" s="5" t="n">
        <v>0.002</v>
      </c>
      <c r="D27" s="6" t="n">
        <f aca="false">C27*75</f>
        <v>0.15</v>
      </c>
      <c r="E27" s="7" t="n">
        <v>5</v>
      </c>
      <c r="F27" s="8" t="n">
        <f aca="false">(E27-D27)/D27</f>
        <v>32.3333333333333</v>
      </c>
      <c r="G27" s="9" t="n">
        <f aca="false">(E27-D27)/E27</f>
        <v>0.97</v>
      </c>
    </row>
    <row r="28" customFormat="false" ht="15" hidden="false" customHeight="true" outlineLevel="0" collapsed="false">
      <c r="A28" s="13" t="s">
        <v>37</v>
      </c>
      <c r="B28" s="4" t="s">
        <v>38</v>
      </c>
      <c r="C28" s="5" t="n">
        <v>0.03</v>
      </c>
      <c r="D28" s="6" t="n">
        <f aca="false">C28*75</f>
        <v>2.25</v>
      </c>
      <c r="E28" s="7" t="n">
        <v>15</v>
      </c>
      <c r="F28" s="8" t="n">
        <f aca="false">(E28-D28)/D28</f>
        <v>5.66666666666667</v>
      </c>
      <c r="G28" s="9" t="n">
        <f aca="false">(E28-D28)/E28</f>
        <v>0.85</v>
      </c>
    </row>
    <row r="29" customFormat="false" ht="15" hidden="false" customHeight="true" outlineLevel="0" collapsed="false">
      <c r="A29" s="13" t="s">
        <v>37</v>
      </c>
      <c r="B29" s="4" t="s">
        <v>39</v>
      </c>
      <c r="C29" s="5" t="n">
        <v>0.03</v>
      </c>
      <c r="D29" s="6" t="n">
        <f aca="false">C29*75</f>
        <v>2.25</v>
      </c>
      <c r="E29" s="7" t="n">
        <v>15</v>
      </c>
      <c r="F29" s="8" t="n">
        <f aca="false">(E29-D29)/D29</f>
        <v>5.66666666666667</v>
      </c>
      <c r="G29" s="9" t="n">
        <f aca="false">(E29-D29)/E29</f>
        <v>0.85</v>
      </c>
    </row>
    <row r="30" customFormat="false" ht="15" hidden="false" customHeight="true" outlineLevel="0" collapsed="false">
      <c r="A30" s="13" t="s">
        <v>37</v>
      </c>
      <c r="B30" s="4" t="s">
        <v>40</v>
      </c>
      <c r="C30" s="5" t="n">
        <v>0.0475</v>
      </c>
      <c r="D30" s="6" t="n">
        <f aca="false">C30*75</f>
        <v>3.5625</v>
      </c>
      <c r="E30" s="7" t="n">
        <v>15</v>
      </c>
      <c r="F30" s="8" t="n">
        <f aca="false">(E30-D30)/D30</f>
        <v>3.21052631578947</v>
      </c>
      <c r="G30" s="9" t="n">
        <f aca="false">(E30-D30)/E30</f>
        <v>0.7625</v>
      </c>
    </row>
    <row r="31" customFormat="false" ht="15" hidden="false" customHeight="true" outlineLevel="0" collapsed="false">
      <c r="A31" s="13" t="s">
        <v>37</v>
      </c>
      <c r="B31" s="4" t="s">
        <v>41</v>
      </c>
      <c r="C31" s="5" t="n">
        <v>0.0475</v>
      </c>
      <c r="D31" s="6" t="n">
        <f aca="false">C31*75</f>
        <v>3.5625</v>
      </c>
      <c r="E31" s="7" t="n">
        <v>15</v>
      </c>
      <c r="F31" s="8" t="n">
        <f aca="false">(E31-D31)/D31</f>
        <v>3.21052631578947</v>
      </c>
      <c r="G31" s="9" t="n">
        <f aca="false">(E31-D31)/E31</f>
        <v>0.7625</v>
      </c>
    </row>
    <row r="32" customFormat="false" ht="15" hidden="false" customHeight="true" outlineLevel="0" collapsed="false">
      <c r="A32" s="13" t="s">
        <v>37</v>
      </c>
      <c r="B32" s="4" t="s">
        <v>42</v>
      </c>
      <c r="C32" s="5" t="n">
        <v>0.0625</v>
      </c>
      <c r="D32" s="6" t="n">
        <f aca="false">C32*75</f>
        <v>4.6875</v>
      </c>
      <c r="E32" s="7" t="n">
        <v>15</v>
      </c>
      <c r="F32" s="8" t="n">
        <f aca="false">(E32-D32)/D32</f>
        <v>2.2</v>
      </c>
      <c r="G32" s="9" t="n">
        <f aca="false">(E32-D32)/E32</f>
        <v>0.6875</v>
      </c>
    </row>
    <row r="33" customFormat="false" ht="15" hidden="false" customHeight="true" outlineLevel="0" collapsed="false">
      <c r="A33" s="13" t="s">
        <v>37</v>
      </c>
      <c r="B33" s="4" t="s">
        <v>43</v>
      </c>
      <c r="C33" s="5" t="n">
        <v>0.0625</v>
      </c>
      <c r="D33" s="6" t="n">
        <f aca="false">C33*75</f>
        <v>4.6875</v>
      </c>
      <c r="E33" s="7" t="n">
        <v>15</v>
      </c>
      <c r="F33" s="8" t="n">
        <f aca="false">(E33-D33)/D33</f>
        <v>2.2</v>
      </c>
      <c r="G33" s="9" t="n">
        <f aca="false">(E33-D33)/E33</f>
        <v>0.6875</v>
      </c>
    </row>
    <row r="34" customFormat="false" ht="15" hidden="false" customHeight="true" outlineLevel="0" collapsed="false">
      <c r="A34" s="13" t="s">
        <v>37</v>
      </c>
      <c r="B34" s="4" t="s">
        <v>44</v>
      </c>
      <c r="C34" s="5" t="n">
        <v>0.03</v>
      </c>
      <c r="D34" s="6" t="n">
        <f aca="false">C34*75</f>
        <v>2.25</v>
      </c>
      <c r="E34" s="7" t="n">
        <v>15</v>
      </c>
      <c r="F34" s="8" t="n">
        <f aca="false">(E34-D34)/D34</f>
        <v>5.66666666666667</v>
      </c>
      <c r="G34" s="9" t="n">
        <f aca="false">(E34-D34)/E34</f>
        <v>0.85</v>
      </c>
    </row>
    <row r="35" customFormat="false" ht="15" hidden="false" customHeight="true" outlineLevel="0" collapsed="false">
      <c r="A35" s="13" t="s">
        <v>37</v>
      </c>
      <c r="B35" s="4" t="s">
        <v>45</v>
      </c>
      <c r="C35" s="5" t="n">
        <v>0.045</v>
      </c>
      <c r="D35" s="6" t="n">
        <f aca="false">C35*75</f>
        <v>3.375</v>
      </c>
      <c r="E35" s="7" t="n">
        <v>15</v>
      </c>
      <c r="F35" s="8" t="n">
        <f aca="false">(E35-D35)/D35</f>
        <v>3.44444444444444</v>
      </c>
      <c r="G35" s="9" t="n">
        <f aca="false">(E35-D35)/E35</f>
        <v>0.775</v>
      </c>
    </row>
    <row r="36" customFormat="false" ht="15" hidden="false" customHeight="true" outlineLevel="0" collapsed="false">
      <c r="A36" s="14" t="s">
        <v>46</v>
      </c>
      <c r="B36" s="4" t="s">
        <v>47</v>
      </c>
      <c r="C36" s="5" t="n">
        <v>0.05</v>
      </c>
      <c r="D36" s="6" t="n">
        <f aca="false">C36*75</f>
        <v>3.75</v>
      </c>
      <c r="E36" s="7" t="n">
        <v>59</v>
      </c>
      <c r="F36" s="8" t="n">
        <f aca="false">(E36-D36)/D36</f>
        <v>14.7333333333333</v>
      </c>
      <c r="G36" s="9" t="n">
        <f aca="false">(E36-D36)/E36</f>
        <v>0.936440677966102</v>
      </c>
    </row>
    <row r="37" customFormat="false" ht="15" hidden="false" customHeight="true" outlineLevel="0" collapsed="false">
      <c r="A37" s="14" t="s">
        <v>46</v>
      </c>
      <c r="B37" s="4" t="s">
        <v>48</v>
      </c>
      <c r="C37" s="5" t="n">
        <v>0.05</v>
      </c>
      <c r="D37" s="6" t="n">
        <f aca="false">C37*75</f>
        <v>3.75</v>
      </c>
      <c r="E37" s="7" t="n">
        <v>59</v>
      </c>
      <c r="F37" s="8" t="n">
        <f aca="false">(E37-D37)/D37</f>
        <v>14.7333333333333</v>
      </c>
      <c r="G37" s="9" t="n">
        <f aca="false">(E37-D37)/E37</f>
        <v>0.936440677966102</v>
      </c>
    </row>
    <row r="38" customFormat="false" ht="15" hidden="false" customHeight="true" outlineLevel="0" collapsed="false">
      <c r="A38" s="14" t="s">
        <v>46</v>
      </c>
      <c r="B38" s="4" t="s">
        <v>49</v>
      </c>
      <c r="C38" s="5" t="n">
        <v>0.1</v>
      </c>
      <c r="D38" s="6" t="n">
        <f aca="false">C38*75</f>
        <v>7.5</v>
      </c>
      <c r="E38" s="7" t="n">
        <v>59</v>
      </c>
      <c r="F38" s="8" t="n">
        <f aca="false">(E38-D38)/D38</f>
        <v>6.86666666666667</v>
      </c>
      <c r="G38" s="9" t="n">
        <f aca="false">(E38-D38)/E38</f>
        <v>0.872881355932203</v>
      </c>
    </row>
    <row r="39" customFormat="false" ht="15" hidden="false" customHeight="true" outlineLevel="0" collapsed="false">
      <c r="A39" s="14" t="s">
        <v>46</v>
      </c>
      <c r="B39" s="4" t="s">
        <v>50</v>
      </c>
      <c r="C39" s="5" t="n">
        <v>0.1</v>
      </c>
      <c r="D39" s="6" t="n">
        <f aca="false">C39*75</f>
        <v>7.5</v>
      </c>
      <c r="E39" s="7" t="n">
        <v>59</v>
      </c>
      <c r="F39" s="8" t="n">
        <f aca="false">(E39-D39)/D39</f>
        <v>6.86666666666667</v>
      </c>
      <c r="G39" s="9" t="n">
        <f aca="false">(E39-D39)/E39</f>
        <v>0.872881355932203</v>
      </c>
    </row>
    <row r="40" customFormat="false" ht="15" hidden="false" customHeight="true" outlineLevel="0" collapsed="false">
      <c r="A40" s="14" t="s">
        <v>46</v>
      </c>
      <c r="B40" s="4" t="s">
        <v>51</v>
      </c>
      <c r="C40" s="5" t="n">
        <v>0.1</v>
      </c>
      <c r="D40" s="6" t="n">
        <f aca="false">C40*75</f>
        <v>7.5</v>
      </c>
      <c r="E40" s="7" t="n">
        <v>59</v>
      </c>
      <c r="F40" s="8" t="n">
        <f aca="false">(E40-D40)/D40</f>
        <v>6.86666666666667</v>
      </c>
      <c r="G40" s="9" t="n">
        <f aca="false">(E40-D40)/E40</f>
        <v>0.872881355932203</v>
      </c>
    </row>
    <row r="41" customFormat="false" ht="15" hidden="false" customHeight="true" outlineLevel="0" collapsed="false">
      <c r="A41" s="14" t="s">
        <v>46</v>
      </c>
      <c r="B41" s="4" t="s">
        <v>52</v>
      </c>
      <c r="C41" s="5" t="n">
        <v>0.1</v>
      </c>
      <c r="D41" s="6" t="n">
        <f aca="false">C41*75</f>
        <v>7.5</v>
      </c>
      <c r="E41" s="7" t="n">
        <v>59</v>
      </c>
      <c r="F41" s="8" t="n">
        <f aca="false">(E41-D41)/D41</f>
        <v>6.86666666666667</v>
      </c>
      <c r="G41" s="9" t="n">
        <f aca="false">(E41-D41)/E41</f>
        <v>0.872881355932203</v>
      </c>
    </row>
    <row r="42" customFormat="false" ht="15" hidden="false" customHeight="true" outlineLevel="0" collapsed="false">
      <c r="A42" s="14" t="s">
        <v>46</v>
      </c>
      <c r="B42" s="4" t="s">
        <v>53</v>
      </c>
      <c r="C42" s="5" t="n">
        <v>0.15</v>
      </c>
      <c r="D42" s="6" t="n">
        <f aca="false">C42*75</f>
        <v>11.25</v>
      </c>
      <c r="E42" s="7" t="n">
        <v>59</v>
      </c>
      <c r="F42" s="8" t="n">
        <f aca="false">(E42-D42)/D42</f>
        <v>4.24444444444444</v>
      </c>
      <c r="G42" s="9" t="n">
        <f aca="false">(E42-D42)/E42</f>
        <v>0.809322033898305</v>
      </c>
    </row>
    <row r="43" customFormat="false" ht="15" hidden="false" customHeight="true" outlineLevel="0" collapsed="false">
      <c r="A43" s="14" t="s">
        <v>46</v>
      </c>
      <c r="B43" s="4" t="s">
        <v>54</v>
      </c>
      <c r="C43" s="5" t="n">
        <v>0.1</v>
      </c>
      <c r="D43" s="6" t="n">
        <f aca="false">C43*75</f>
        <v>7.5</v>
      </c>
      <c r="E43" s="7" t="n">
        <v>59</v>
      </c>
      <c r="F43" s="8" t="n">
        <f aca="false">(E43-D43)/D43</f>
        <v>6.86666666666667</v>
      </c>
      <c r="G43" s="9" t="n">
        <f aca="false">(E43-D43)/E43</f>
        <v>0.872881355932203</v>
      </c>
    </row>
    <row r="44" customFormat="false" ht="15" hidden="false" customHeight="true" outlineLevel="0" collapsed="false">
      <c r="A44" s="14" t="s">
        <v>46</v>
      </c>
      <c r="B44" s="4" t="s">
        <v>55</v>
      </c>
      <c r="C44" s="5" t="n">
        <v>0.135</v>
      </c>
      <c r="D44" s="6" t="n">
        <f aca="false">C44*75</f>
        <v>10.125</v>
      </c>
      <c r="E44" s="7" t="n">
        <v>59</v>
      </c>
      <c r="F44" s="8" t="n">
        <f aca="false">(E44-D44)/D44</f>
        <v>4.82716049382716</v>
      </c>
      <c r="G44" s="9" t="n">
        <f aca="false">(E44-D44)/E44</f>
        <v>0.828389830508475</v>
      </c>
    </row>
    <row r="45" customFormat="false" ht="15" hidden="false" customHeight="true" outlineLevel="0" collapsed="false">
      <c r="A45" s="14" t="s">
        <v>46</v>
      </c>
      <c r="B45" s="4" t="s">
        <v>56</v>
      </c>
      <c r="C45" s="5" t="n">
        <v>0.15</v>
      </c>
      <c r="D45" s="6" t="n">
        <f aca="false">C45*75</f>
        <v>11.25</v>
      </c>
      <c r="E45" s="7" t="n">
        <v>59</v>
      </c>
      <c r="F45" s="8" t="n">
        <f aca="false">(E45-D45)/D45</f>
        <v>4.24444444444444</v>
      </c>
      <c r="G45" s="9" t="n">
        <f aca="false">(E45-D45)/E45</f>
        <v>0.809322033898305</v>
      </c>
    </row>
    <row r="46" customFormat="false" ht="15" hidden="false" customHeight="true" outlineLevel="0" collapsed="false">
      <c r="A46" s="14" t="s">
        <v>46</v>
      </c>
      <c r="B46" s="4" t="s">
        <v>57</v>
      </c>
      <c r="C46" s="5" t="n">
        <v>0.2</v>
      </c>
      <c r="D46" s="6" t="n">
        <f aca="false">C46*75</f>
        <v>15</v>
      </c>
      <c r="E46" s="7" t="n">
        <v>59</v>
      </c>
      <c r="F46" s="8" t="n">
        <f aca="false">(E46-D46)/D46</f>
        <v>2.93333333333333</v>
      </c>
      <c r="G46" s="9" t="n">
        <f aca="false">(E46-D46)/E46</f>
        <v>0.745762711864407</v>
      </c>
    </row>
    <row r="47" customFormat="false" ht="15" hidden="false" customHeight="true" outlineLevel="0" collapsed="false">
      <c r="A47" s="14" t="s">
        <v>46</v>
      </c>
      <c r="B47" s="4" t="s">
        <v>58</v>
      </c>
      <c r="C47" s="5" t="n">
        <v>0.15</v>
      </c>
      <c r="D47" s="6" t="n">
        <f aca="false">C47*75</f>
        <v>11.25</v>
      </c>
      <c r="E47" s="7" t="n">
        <v>59</v>
      </c>
      <c r="F47" s="8" t="n">
        <f aca="false">(E47-D47)/D47</f>
        <v>4.24444444444444</v>
      </c>
      <c r="G47" s="9" t="n">
        <f aca="false">(E47-D47)/E47</f>
        <v>0.809322033898305</v>
      </c>
    </row>
    <row r="48" customFormat="false" ht="15" hidden="false" customHeight="true" outlineLevel="0" collapsed="false">
      <c r="A48" s="14" t="s">
        <v>46</v>
      </c>
      <c r="B48" s="4" t="s">
        <v>59</v>
      </c>
      <c r="C48" s="5" t="n">
        <v>0.15</v>
      </c>
      <c r="D48" s="6" t="n">
        <f aca="false">C48*75</f>
        <v>11.25</v>
      </c>
      <c r="E48" s="7" t="n">
        <v>59</v>
      </c>
      <c r="F48" s="8" t="n">
        <f aca="false">(E48-D48)/D48</f>
        <v>4.24444444444444</v>
      </c>
      <c r="G48" s="9" t="n">
        <f aca="false">(E48-D48)/E48</f>
        <v>0.809322033898305</v>
      </c>
    </row>
    <row r="49" customFormat="false" ht="15" hidden="false" customHeight="true" outlineLevel="0" collapsed="false">
      <c r="A49" s="14" t="s">
        <v>46</v>
      </c>
      <c r="B49" s="4" t="s">
        <v>60</v>
      </c>
      <c r="C49" s="5" t="n">
        <v>0.175</v>
      </c>
      <c r="D49" s="6" t="n">
        <f aca="false">C49*75</f>
        <v>13.125</v>
      </c>
      <c r="E49" s="7" t="n">
        <v>59</v>
      </c>
      <c r="F49" s="8" t="n">
        <f aca="false">(E49-D49)/D49</f>
        <v>3.4952380952381</v>
      </c>
      <c r="G49" s="9" t="n">
        <f aca="false">(E49-D49)/E49</f>
        <v>0.777542372881356</v>
      </c>
    </row>
    <row r="50" customFormat="false" ht="15" hidden="false" customHeight="true" outlineLevel="0" collapsed="false">
      <c r="A50" s="14" t="s">
        <v>46</v>
      </c>
      <c r="B50" s="4" t="s">
        <v>61</v>
      </c>
      <c r="C50" s="5" t="n">
        <v>0.175</v>
      </c>
      <c r="D50" s="6" t="n">
        <f aca="false">C50*75</f>
        <v>13.125</v>
      </c>
      <c r="E50" s="7" t="n">
        <v>59</v>
      </c>
      <c r="F50" s="8" t="n">
        <f aca="false">(E50-D50)/D50</f>
        <v>3.4952380952381</v>
      </c>
      <c r="G50" s="9" t="n">
        <f aca="false">(E50-D50)/E50</f>
        <v>0.777542372881356</v>
      </c>
    </row>
    <row r="51" customFormat="false" ht="15" hidden="false" customHeight="true" outlineLevel="0" collapsed="false">
      <c r="A51" s="14" t="s">
        <v>46</v>
      </c>
      <c r="B51" s="4" t="s">
        <v>62</v>
      </c>
      <c r="C51" s="5" t="n">
        <v>0.15</v>
      </c>
      <c r="D51" s="6" t="n">
        <f aca="false">C51*75</f>
        <v>11.25</v>
      </c>
      <c r="E51" s="7" t="n">
        <v>59</v>
      </c>
      <c r="F51" s="8" t="n">
        <f aca="false">(E51-D51)/D51</f>
        <v>4.24444444444444</v>
      </c>
      <c r="G51" s="9" t="n">
        <f aca="false">(E51-D51)/E51</f>
        <v>0.809322033898305</v>
      </c>
    </row>
    <row r="52" customFormat="false" ht="15" hidden="false" customHeight="true" outlineLevel="0" collapsed="false">
      <c r="A52" s="14" t="s">
        <v>46</v>
      </c>
      <c r="B52" s="4" t="s">
        <v>63</v>
      </c>
      <c r="C52" s="5" t="n">
        <v>0.25</v>
      </c>
      <c r="D52" s="6" t="n">
        <f aca="false">C52*75</f>
        <v>18.75</v>
      </c>
      <c r="E52" s="7" t="n">
        <v>59</v>
      </c>
      <c r="F52" s="8" t="n">
        <f aca="false">(E52-D52)/D52</f>
        <v>2.14666666666667</v>
      </c>
      <c r="G52" s="9" t="n">
        <f aca="false">(E52-D52)/E52</f>
        <v>0.682203389830508</v>
      </c>
    </row>
    <row r="53" customFormat="false" ht="15" hidden="false" customHeight="true" outlineLevel="0" collapsed="false">
      <c r="A53" s="14" t="s">
        <v>46</v>
      </c>
      <c r="B53" s="4" t="s">
        <v>64</v>
      </c>
      <c r="C53" s="5" t="n">
        <v>0.025</v>
      </c>
      <c r="D53" s="6" t="n">
        <f aca="false">C53*75</f>
        <v>1.875</v>
      </c>
      <c r="E53" s="7" t="n">
        <v>59</v>
      </c>
      <c r="F53" s="8" t="n">
        <f aca="false">(E53-D53)/D53</f>
        <v>30.4666666666667</v>
      </c>
      <c r="G53" s="9" t="n">
        <f aca="false">(E53-D53)/E53</f>
        <v>0.968220338983051</v>
      </c>
    </row>
    <row r="54" customFormat="false" ht="15" hidden="false" customHeight="true" outlineLevel="0" collapsed="false">
      <c r="A54" s="15" t="s">
        <v>65</v>
      </c>
      <c r="B54" s="4" t="s">
        <v>66</v>
      </c>
      <c r="C54" s="5" t="n">
        <v>0.21</v>
      </c>
      <c r="D54" s="6" t="n">
        <f aca="false">C54*75</f>
        <v>15.75</v>
      </c>
      <c r="E54" s="7" t="n">
        <v>149</v>
      </c>
      <c r="F54" s="8" t="n">
        <f aca="false">(E54-D54)/D54</f>
        <v>8.46031746031746</v>
      </c>
      <c r="G54" s="9" t="n">
        <f aca="false">(E54-D54)/E54</f>
        <v>0.894295302013423</v>
      </c>
    </row>
    <row r="55" customFormat="false" ht="15" hidden="false" customHeight="true" outlineLevel="0" collapsed="false">
      <c r="A55" s="15" t="s">
        <v>65</v>
      </c>
      <c r="B55" s="4" t="s">
        <v>67</v>
      </c>
      <c r="C55" s="5" t="n">
        <v>0.42</v>
      </c>
      <c r="D55" s="6" t="n">
        <f aca="false">C55*75</f>
        <v>31.5</v>
      </c>
      <c r="E55" s="7" t="n">
        <v>149</v>
      </c>
      <c r="F55" s="8" t="n">
        <f aca="false">(E55-D55)/D55</f>
        <v>3.73015873015873</v>
      </c>
      <c r="G55" s="9" t="n">
        <f aca="false">(E55-D55)/E55</f>
        <v>0.788590604026846</v>
      </c>
    </row>
    <row r="56" customFormat="false" ht="15" hidden="false" customHeight="true" outlineLevel="0" collapsed="false">
      <c r="A56" s="15" t="s">
        <v>65</v>
      </c>
      <c r="B56" s="4" t="s">
        <v>68</v>
      </c>
      <c r="C56" s="5" t="n">
        <v>0.275</v>
      </c>
      <c r="D56" s="6" t="n">
        <f aca="false">C56*75</f>
        <v>20.625</v>
      </c>
      <c r="E56" s="7" t="n">
        <v>149</v>
      </c>
      <c r="F56" s="8" t="n">
        <f aca="false">(E56-D56)/D56</f>
        <v>6.22424242424243</v>
      </c>
      <c r="G56" s="9" t="n">
        <f aca="false">(E56-D56)/E56</f>
        <v>0.861577181208054</v>
      </c>
    </row>
    <row r="57" customFormat="false" ht="15" hidden="false" customHeight="true" outlineLevel="0" collapsed="false">
      <c r="A57" s="15" t="s">
        <v>65</v>
      </c>
      <c r="B57" s="4" t="s">
        <v>69</v>
      </c>
      <c r="C57" s="5" t="n">
        <v>0.55</v>
      </c>
      <c r="D57" s="6" t="n">
        <f aca="false">C57*75</f>
        <v>41.25</v>
      </c>
      <c r="E57" s="7" t="n">
        <v>149</v>
      </c>
      <c r="F57" s="8" t="n">
        <f aca="false">(E57-D57)/D57</f>
        <v>2.61212121212121</v>
      </c>
      <c r="G57" s="9" t="n">
        <f aca="false">(E57-D57)/E57</f>
        <v>0.723154362416107</v>
      </c>
    </row>
    <row r="58" customFormat="false" ht="15" hidden="false" customHeight="true" outlineLevel="0" collapsed="false">
      <c r="A58" s="15" t="s">
        <v>65</v>
      </c>
      <c r="B58" s="4" t="s">
        <v>70</v>
      </c>
      <c r="C58" s="5" t="n">
        <v>0.55</v>
      </c>
      <c r="D58" s="6" t="n">
        <f aca="false">C58*75</f>
        <v>41.25</v>
      </c>
      <c r="E58" s="7" t="n">
        <v>149</v>
      </c>
      <c r="F58" s="8" t="n">
        <f aca="false">(E58-D58)/D58</f>
        <v>2.61212121212121</v>
      </c>
      <c r="G58" s="9" t="n">
        <f aca="false">(E58-D58)/E58</f>
        <v>0.723154362416107</v>
      </c>
    </row>
    <row r="59" customFormat="false" ht="15" hidden="false" customHeight="true" outlineLevel="0" collapsed="false">
      <c r="A59" s="15" t="s">
        <v>65</v>
      </c>
      <c r="B59" s="4" t="s">
        <v>71</v>
      </c>
      <c r="C59" s="5" t="n">
        <v>0.3</v>
      </c>
      <c r="D59" s="6" t="n">
        <f aca="false">C59*75</f>
        <v>22.5</v>
      </c>
      <c r="E59" s="7" t="n">
        <v>149</v>
      </c>
      <c r="F59" s="8" t="n">
        <f aca="false">(E59-D59)/D59</f>
        <v>5.62222222222222</v>
      </c>
      <c r="G59" s="9" t="n">
        <f aca="false">(E59-D59)/E59</f>
        <v>0.848993288590604</v>
      </c>
    </row>
    <row r="60" customFormat="false" ht="15" hidden="false" customHeight="true" outlineLevel="0" collapsed="false">
      <c r="A60" s="15" t="s">
        <v>65</v>
      </c>
      <c r="B60" s="4" t="s">
        <v>72</v>
      </c>
      <c r="C60" s="5" t="n">
        <v>0.3</v>
      </c>
      <c r="D60" s="6" t="n">
        <f aca="false">C60*75</f>
        <v>22.5</v>
      </c>
      <c r="E60" s="7" t="n">
        <v>149</v>
      </c>
      <c r="F60" s="8" t="n">
        <f aca="false">(E60-D60)/D60</f>
        <v>5.62222222222222</v>
      </c>
      <c r="G60" s="9" t="n">
        <f aca="false">(E60-D60)/E60</f>
        <v>0.848993288590604</v>
      </c>
    </row>
    <row r="61" customFormat="false" ht="15" hidden="false" customHeight="true" outlineLevel="0" collapsed="false">
      <c r="A61" s="15" t="s">
        <v>65</v>
      </c>
      <c r="B61" s="4" t="s">
        <v>73</v>
      </c>
      <c r="C61" s="5" t="n">
        <v>0.3</v>
      </c>
      <c r="D61" s="6" t="n">
        <f aca="false">C61*75</f>
        <v>22.5</v>
      </c>
      <c r="E61" s="7" t="n">
        <v>149</v>
      </c>
      <c r="F61" s="8" t="n">
        <f aca="false">(E61-D61)/D61</f>
        <v>5.62222222222222</v>
      </c>
      <c r="G61" s="9" t="n">
        <f aca="false">(E61-D61)/E61</f>
        <v>0.848993288590604</v>
      </c>
    </row>
    <row r="62" customFormat="false" ht="15" hidden="false" customHeight="true" outlineLevel="0" collapsed="false">
      <c r="A62" s="15" t="s">
        <v>65</v>
      </c>
      <c r="B62" s="4" t="s">
        <v>74</v>
      </c>
      <c r="C62" s="5" t="n">
        <v>0.3</v>
      </c>
      <c r="D62" s="6" t="n">
        <f aca="false">C62*75</f>
        <v>22.5</v>
      </c>
      <c r="E62" s="7" t="n">
        <v>149</v>
      </c>
      <c r="F62" s="8" t="n">
        <f aca="false">(E62-D62)/D62</f>
        <v>5.62222222222222</v>
      </c>
      <c r="G62" s="9" t="n">
        <f aca="false">(E62-D62)/E62</f>
        <v>0.848993288590604</v>
      </c>
    </row>
    <row r="63" customFormat="false" ht="15" hidden="false" customHeight="true" outlineLevel="0" collapsed="false">
      <c r="A63" s="15" t="s">
        <v>65</v>
      </c>
      <c r="B63" s="4" t="s">
        <v>75</v>
      </c>
      <c r="C63" s="5" t="n">
        <v>0.6</v>
      </c>
      <c r="D63" s="6" t="n">
        <f aca="false">C63*75</f>
        <v>45</v>
      </c>
      <c r="E63" s="7" t="n">
        <v>149</v>
      </c>
      <c r="F63" s="8" t="n">
        <f aca="false">(E63-D63)/D63</f>
        <v>2.31111111111111</v>
      </c>
      <c r="G63" s="9" t="n">
        <f aca="false">(E63-D63)/E63</f>
        <v>0.697986577181208</v>
      </c>
    </row>
    <row r="64" customFormat="false" ht="15" hidden="false" customHeight="true" outlineLevel="0" collapsed="false">
      <c r="A64" s="15" t="s">
        <v>65</v>
      </c>
      <c r="B64" s="4" t="s">
        <v>76</v>
      </c>
      <c r="C64" s="5" t="n">
        <v>0.3</v>
      </c>
      <c r="D64" s="6" t="n">
        <f aca="false">C64*75</f>
        <v>22.5</v>
      </c>
      <c r="E64" s="7" t="n">
        <v>149</v>
      </c>
      <c r="F64" s="8" t="n">
        <f aca="false">(E64-D64)/D64</f>
        <v>5.62222222222222</v>
      </c>
      <c r="G64" s="9" t="n">
        <f aca="false">(E64-D64)/E64</f>
        <v>0.848993288590604</v>
      </c>
    </row>
    <row r="65" customFormat="false" ht="15" hidden="false" customHeight="true" outlineLevel="0" collapsed="false">
      <c r="A65" s="15" t="s">
        <v>65</v>
      </c>
      <c r="B65" s="4" t="s">
        <v>77</v>
      </c>
      <c r="C65" s="5" t="n">
        <v>0.6</v>
      </c>
      <c r="D65" s="6" t="n">
        <f aca="false">C65*75</f>
        <v>45</v>
      </c>
      <c r="E65" s="7" t="n">
        <v>149</v>
      </c>
      <c r="F65" s="8" t="n">
        <f aca="false">(E65-D65)/D65</f>
        <v>2.31111111111111</v>
      </c>
      <c r="G65" s="9" t="n">
        <f aca="false">(E65-D65)/E65</f>
        <v>0.697986577181208</v>
      </c>
    </row>
    <row r="66" customFormat="false" ht="15" hidden="false" customHeight="true" outlineLevel="0" collapsed="false">
      <c r="A66" s="15" t="s">
        <v>65</v>
      </c>
      <c r="B66" s="4" t="s">
        <v>78</v>
      </c>
      <c r="C66" s="5" t="n">
        <v>0.5225</v>
      </c>
      <c r="D66" s="6" t="n">
        <f aca="false">C66*75</f>
        <v>39.1875</v>
      </c>
      <c r="E66" s="7" t="n">
        <v>149</v>
      </c>
      <c r="F66" s="8" t="n">
        <f aca="false">(E66-D66)/D66</f>
        <v>2.80223285486443</v>
      </c>
      <c r="G66" s="9" t="n">
        <f aca="false">(E66-D66)/E66</f>
        <v>0.736996644295302</v>
      </c>
    </row>
    <row r="67" customFormat="false" ht="15" hidden="false" customHeight="true" outlineLevel="0" collapsed="false">
      <c r="A67" s="16" t="s">
        <v>79</v>
      </c>
      <c r="B67" s="4" t="s">
        <v>80</v>
      </c>
      <c r="C67" s="5" t="n">
        <v>0.7</v>
      </c>
      <c r="D67" s="6" t="n">
        <f aca="false">C67*75</f>
        <v>52.5</v>
      </c>
      <c r="E67" s="7" t="n">
        <v>349</v>
      </c>
      <c r="F67" s="8" t="n">
        <f aca="false">(E67-D67)/D67</f>
        <v>5.64761904761905</v>
      </c>
      <c r="G67" s="9" t="n">
        <f aca="false">(E67-D67)/E67</f>
        <v>0.849570200573066</v>
      </c>
    </row>
    <row r="68" customFormat="false" ht="15" hidden="false" customHeight="true" outlineLevel="0" collapsed="false">
      <c r="A68" s="16" t="s">
        <v>79</v>
      </c>
      <c r="B68" s="4" t="s">
        <v>81</v>
      </c>
      <c r="C68" s="5" t="n">
        <v>1.0475</v>
      </c>
      <c r="D68" s="6" t="n">
        <f aca="false">C68*75</f>
        <v>78.5625</v>
      </c>
      <c r="E68" s="7" t="n">
        <v>349</v>
      </c>
      <c r="F68" s="8" t="n">
        <f aca="false">(E68-D68)/D68</f>
        <v>3.44232299124901</v>
      </c>
      <c r="G68" s="9" t="n">
        <f aca="false">(E68-D68)/E68</f>
        <v>0.774892550143267</v>
      </c>
    </row>
    <row r="69" customFormat="false" ht="15" hidden="false" customHeight="true" outlineLevel="0" collapsed="false">
      <c r="A69" s="16" t="s">
        <v>79</v>
      </c>
      <c r="B69" s="4" t="s">
        <v>82</v>
      </c>
      <c r="C69" s="5" t="n">
        <v>1.0475</v>
      </c>
      <c r="D69" s="6" t="n">
        <f aca="false">C69*75</f>
        <v>78.5625</v>
      </c>
      <c r="E69" s="7" t="n">
        <v>349</v>
      </c>
      <c r="F69" s="8" t="n">
        <f aca="false">(E69-D69)/D69</f>
        <v>3.44232299124901</v>
      </c>
      <c r="G69" s="9" t="n">
        <f aca="false">(E69-D69)/E69</f>
        <v>0.774892550143267</v>
      </c>
    </row>
    <row r="70" customFormat="false" ht="15" hidden="false" customHeight="true" outlineLevel="0" collapsed="false">
      <c r="A70" s="16" t="s">
        <v>79</v>
      </c>
      <c r="B70" s="4" t="s">
        <v>83</v>
      </c>
      <c r="C70" s="5" t="n">
        <v>1.05</v>
      </c>
      <c r="D70" s="6" t="n">
        <f aca="false">C70*75</f>
        <v>78.75</v>
      </c>
      <c r="E70" s="7" t="n">
        <v>349</v>
      </c>
      <c r="F70" s="8" t="n">
        <f aca="false">(E70-D70)/D70</f>
        <v>3.43174603174603</v>
      </c>
      <c r="G70" s="9" t="n">
        <f aca="false">(E70-D70)/E70</f>
        <v>0.774355300859599</v>
      </c>
    </row>
    <row r="71" customFormat="false" ht="15" hidden="false" customHeight="true" outlineLevel="0" collapsed="false">
      <c r="A71" s="16" t="s">
        <v>79</v>
      </c>
      <c r="B71" s="4" t="s">
        <v>84</v>
      </c>
      <c r="C71" s="5" t="n">
        <v>1.575</v>
      </c>
      <c r="D71" s="6" t="n">
        <f aca="false">C71*75</f>
        <v>118.125</v>
      </c>
      <c r="E71" s="7" t="n">
        <v>349</v>
      </c>
      <c r="F71" s="8" t="n">
        <f aca="false">(E71-D71)/D71</f>
        <v>1.95449735449735</v>
      </c>
      <c r="G71" s="9" t="n">
        <f aca="false">(E71-D71)/E71</f>
        <v>0.661532951289398</v>
      </c>
    </row>
    <row r="72" customFormat="false" ht="15" hidden="false" customHeight="true" outlineLevel="0" collapsed="false">
      <c r="A72" s="16" t="s">
        <v>79</v>
      </c>
      <c r="B72" s="4" t="s">
        <v>85</v>
      </c>
      <c r="C72" s="5" t="n">
        <v>1.575</v>
      </c>
      <c r="D72" s="6" t="n">
        <f aca="false">C72*75</f>
        <v>118.125</v>
      </c>
      <c r="E72" s="7" t="n">
        <v>349</v>
      </c>
      <c r="F72" s="8" t="n">
        <f aca="false">(E72-D72)/D72</f>
        <v>1.95449735449735</v>
      </c>
      <c r="G72" s="9" t="n">
        <f aca="false">(E72-D72)/E72</f>
        <v>0.661532951289398</v>
      </c>
    </row>
    <row r="73" customFormat="false" ht="15" hidden="false" customHeight="true" outlineLevel="0" collapsed="false">
      <c r="A73" s="16" t="s">
        <v>79</v>
      </c>
      <c r="B73" s="4" t="s">
        <v>86</v>
      </c>
      <c r="C73" s="5" t="n">
        <v>0.75</v>
      </c>
      <c r="D73" s="6" t="n">
        <f aca="false">C73*75</f>
        <v>56.25</v>
      </c>
      <c r="E73" s="7" t="n">
        <v>349</v>
      </c>
      <c r="F73" s="8" t="n">
        <f aca="false">(E73-D73)/D73</f>
        <v>5.20444444444444</v>
      </c>
      <c r="G73" s="9" t="n">
        <f aca="false">(E73-D73)/E73</f>
        <v>0.838825214899714</v>
      </c>
    </row>
    <row r="74" customFormat="false" ht="15" hidden="false" customHeight="true" outlineLevel="0" collapsed="false">
      <c r="A74" s="16" t="s">
        <v>79</v>
      </c>
      <c r="B74" s="4" t="s">
        <v>87</v>
      </c>
      <c r="C74" s="5" t="n">
        <v>1.35</v>
      </c>
      <c r="D74" s="6" t="n">
        <f aca="false">C74*75</f>
        <v>101.25</v>
      </c>
      <c r="E74" s="7" t="n">
        <v>349</v>
      </c>
      <c r="F74" s="8" t="n">
        <f aca="false">(E74-D74)/D74</f>
        <v>2.44691358024691</v>
      </c>
      <c r="G74" s="9" t="n">
        <f aca="false">(E74-D74)/E74</f>
        <v>0.709885386819484</v>
      </c>
    </row>
    <row r="75" customFormat="false" ht="15" hidden="false" customHeight="true" outlineLevel="0" collapsed="false">
      <c r="A75" s="16" t="s">
        <v>79</v>
      </c>
      <c r="B75" s="4" t="s">
        <v>88</v>
      </c>
      <c r="C75" s="5" t="n">
        <v>1.65</v>
      </c>
      <c r="D75" s="6" t="n">
        <f aca="false">C75*75</f>
        <v>123.75</v>
      </c>
      <c r="E75" s="7" t="n">
        <v>349</v>
      </c>
      <c r="F75" s="8" t="n">
        <f aca="false">(E75-D75)/D75</f>
        <v>1.82020202020202</v>
      </c>
      <c r="G75" s="9" t="n">
        <f aca="false">(E75-D75)/E75</f>
        <v>0.64541547277937</v>
      </c>
    </row>
    <row r="76" customFormat="false" ht="15" hidden="false" customHeight="true" outlineLevel="0" collapsed="false">
      <c r="A76" s="16" t="s">
        <v>79</v>
      </c>
      <c r="B76" s="4" t="s">
        <v>89</v>
      </c>
      <c r="C76" s="5" t="n">
        <v>3.15</v>
      </c>
      <c r="D76" s="6" t="n">
        <f aca="false">C76*75</f>
        <v>236.25</v>
      </c>
      <c r="E76" s="7" t="n">
        <v>349</v>
      </c>
      <c r="F76" s="8" t="n">
        <f aca="false">(E76-D76)/D76</f>
        <v>0.477248677248677</v>
      </c>
      <c r="G76" s="9" t="n">
        <f aca="false">(E76-D76)/E76</f>
        <v>0.323065902578797</v>
      </c>
    </row>
    <row r="77" customFormat="false" ht="15" hidden="false" customHeight="true" outlineLevel="0" collapsed="false">
      <c r="A77" s="16" t="s">
        <v>79</v>
      </c>
      <c r="B77" s="4" t="s">
        <v>90</v>
      </c>
      <c r="C77" s="5" t="n">
        <v>1.1</v>
      </c>
      <c r="D77" s="6" t="n">
        <f aca="false">C77*75</f>
        <v>82.5</v>
      </c>
      <c r="E77" s="7" t="n">
        <v>349</v>
      </c>
      <c r="F77" s="8" t="n">
        <f aca="false">(E77-D77)/D77</f>
        <v>3.23030303030303</v>
      </c>
      <c r="G77" s="9" t="n">
        <f aca="false">(E77-D77)/E77</f>
        <v>0.763610315186246</v>
      </c>
    </row>
    <row r="78" customFormat="false" ht="15" hidden="false" customHeight="true" outlineLevel="0" collapsed="false">
      <c r="A78" s="16" t="s">
        <v>79</v>
      </c>
      <c r="B78" s="4" t="s">
        <v>91</v>
      </c>
      <c r="C78" s="5" t="n">
        <v>1.1</v>
      </c>
      <c r="D78" s="6" t="n">
        <f aca="false">C78*75</f>
        <v>82.5</v>
      </c>
      <c r="E78" s="7" t="n">
        <v>349</v>
      </c>
      <c r="F78" s="8" t="n">
        <f aca="false">(E78-D78)/D78</f>
        <v>3.23030303030303</v>
      </c>
      <c r="G78" s="9" t="n">
        <f aca="false">(E78-D78)/E78</f>
        <v>0.763610315186246</v>
      </c>
    </row>
    <row r="79" customFormat="false" ht="15" hidden="false" customHeight="true" outlineLevel="0" collapsed="false">
      <c r="A79" s="16" t="s">
        <v>79</v>
      </c>
      <c r="B79" s="4" t="s">
        <v>92</v>
      </c>
      <c r="C79" s="5" t="n">
        <v>1.25</v>
      </c>
      <c r="D79" s="6" t="n">
        <f aca="false">C79*75</f>
        <v>93.75</v>
      </c>
      <c r="E79" s="7" t="n">
        <v>349</v>
      </c>
      <c r="F79" s="8" t="n">
        <f aca="false">(E79-D79)/D79</f>
        <v>2.72266666666667</v>
      </c>
      <c r="G79" s="9" t="n">
        <f aca="false">(E79-D79)/E79</f>
        <v>0.731375358166189</v>
      </c>
    </row>
    <row r="80" customFormat="false" ht="15" hidden="false" customHeight="true" outlineLevel="0" collapsed="false">
      <c r="A80" s="16" t="s">
        <v>79</v>
      </c>
      <c r="B80" s="4" t="s">
        <v>93</v>
      </c>
      <c r="C80" s="5" t="n">
        <v>1.25</v>
      </c>
      <c r="D80" s="6" t="n">
        <f aca="false">C80*75</f>
        <v>93.75</v>
      </c>
      <c r="E80" s="7" t="n">
        <v>349</v>
      </c>
      <c r="F80" s="8" t="n">
        <f aca="false">(E80-D80)/D80</f>
        <v>2.72266666666667</v>
      </c>
      <c r="G80" s="9" t="n">
        <f aca="false">(E80-D80)/E80</f>
        <v>0.731375358166189</v>
      </c>
    </row>
    <row r="81" customFormat="false" ht="15" hidden="false" customHeight="true" outlineLevel="0" collapsed="false">
      <c r="A81" s="17"/>
      <c r="B81" s="17"/>
      <c r="C81" s="17"/>
      <c r="D81" s="17"/>
      <c r="E81" s="17"/>
      <c r="F81" s="17"/>
      <c r="G81" s="17"/>
    </row>
    <row r="82" customFormat="false" ht="15" hidden="false" customHeight="true" outlineLevel="0" collapsed="false">
      <c r="A82" s="18" t="s">
        <v>94</v>
      </c>
      <c r="B82" s="19" t="n">
        <v>75</v>
      </c>
      <c r="C82" s="17"/>
      <c r="D82" s="17"/>
      <c r="E82" s="17"/>
      <c r="F82" s="17"/>
      <c r="G82" s="17"/>
    </row>
    <row r="83" customFormat="false" ht="15" hidden="false" customHeight="true" outlineLevel="0" collapsed="false">
      <c r="A83" s="17"/>
      <c r="B83" s="17"/>
      <c r="C83" s="17"/>
      <c r="D83" s="17"/>
      <c r="E83" s="17"/>
      <c r="F83" s="17"/>
      <c r="G83" s="17"/>
    </row>
    <row r="84" customFormat="false" ht="26.25" hidden="false" customHeight="true" outlineLevel="0" collapsed="false">
      <c r="A84" s="2" t="s">
        <v>95</v>
      </c>
      <c r="B84" s="2" t="s">
        <v>96</v>
      </c>
      <c r="C84" s="2" t="s">
        <v>97</v>
      </c>
      <c r="D84" s="2" t="s">
        <v>98</v>
      </c>
      <c r="E84" s="2" t="s">
        <v>99</v>
      </c>
      <c r="F84" s="2" t="s">
        <v>100</v>
      </c>
      <c r="G84" s="17"/>
    </row>
    <row r="85" customFormat="false" ht="15" hidden="false" customHeight="true" outlineLevel="0" collapsed="false">
      <c r="A85" s="20" t="s">
        <v>7</v>
      </c>
      <c r="B85" s="4" t="n">
        <v>9</v>
      </c>
      <c r="C85" s="6" t="n">
        <f aca="false">MIN(D2:D10)</f>
        <v>1.125</v>
      </c>
      <c r="D85" s="6" t="n">
        <f aca="false">MAX(D2:D10)</f>
        <v>2.175</v>
      </c>
      <c r="E85" s="7" t="n">
        <v>9</v>
      </c>
      <c r="F85" s="8" t="n">
        <f aca="false">(E85-D85)/D85</f>
        <v>3.13793103448276</v>
      </c>
      <c r="G85" s="17"/>
    </row>
    <row r="86" customFormat="false" ht="15" hidden="false" customHeight="true" outlineLevel="0" collapsed="false">
      <c r="A86" s="21" t="s">
        <v>17</v>
      </c>
      <c r="B86" s="4" t="n">
        <v>6</v>
      </c>
      <c r="C86" s="6" t="n">
        <f aca="false">MIN(D11:D16)</f>
        <v>1.875</v>
      </c>
      <c r="D86" s="6" t="n">
        <f aca="false">MAX(D11:D16)</f>
        <v>3</v>
      </c>
      <c r="E86" s="7" t="n">
        <v>19</v>
      </c>
      <c r="F86" s="8" t="n">
        <f aca="false">(E86-D86)/D86</f>
        <v>5.33333333333333</v>
      </c>
      <c r="G86" s="17"/>
    </row>
    <row r="87" customFormat="false" ht="15" hidden="false" customHeight="true" outlineLevel="0" collapsed="false">
      <c r="A87" s="22" t="s">
        <v>24</v>
      </c>
      <c r="B87" s="4" t="n">
        <v>10</v>
      </c>
      <c r="C87" s="6" t="n">
        <f aca="false">MIN(D17:D26)</f>
        <v>3.75</v>
      </c>
      <c r="D87" s="6" t="n">
        <f aca="false">MAX(D17:D26)</f>
        <v>9</v>
      </c>
      <c r="E87" s="7" t="n">
        <v>35</v>
      </c>
      <c r="F87" s="8" t="n">
        <f aca="false">(E87-D87)/D87</f>
        <v>2.88888888888889</v>
      </c>
      <c r="G87" s="17"/>
    </row>
    <row r="88" customFormat="false" ht="15" hidden="false" customHeight="true" outlineLevel="0" collapsed="false">
      <c r="A88" s="23" t="s">
        <v>35</v>
      </c>
      <c r="B88" s="4" t="n">
        <v>1</v>
      </c>
      <c r="C88" s="6" t="n">
        <f aca="false">MIN(D27)</f>
        <v>0.15</v>
      </c>
      <c r="D88" s="6" t="n">
        <f aca="false">MAX(D27)</f>
        <v>0.15</v>
      </c>
      <c r="E88" s="7" t="n">
        <v>5</v>
      </c>
      <c r="F88" s="8" t="n">
        <f aca="false">(E88-D88)/D88</f>
        <v>32.3333333333333</v>
      </c>
      <c r="G88" s="17"/>
    </row>
    <row r="89" customFormat="false" ht="15" hidden="false" customHeight="true" outlineLevel="0" collapsed="false">
      <c r="A89" s="24" t="s">
        <v>37</v>
      </c>
      <c r="B89" s="4" t="n">
        <v>8</v>
      </c>
      <c r="C89" s="6" t="n">
        <f aca="false">MIN(D28:D35)</f>
        <v>2.25</v>
      </c>
      <c r="D89" s="6" t="n">
        <f aca="false">MAX(D28:D35)</f>
        <v>4.6875</v>
      </c>
      <c r="E89" s="7" t="n">
        <v>15</v>
      </c>
      <c r="F89" s="8" t="n">
        <f aca="false">(E89-D89)/D89</f>
        <v>2.2</v>
      </c>
      <c r="G89" s="17"/>
    </row>
    <row r="90" customFormat="false" ht="15" hidden="false" customHeight="true" outlineLevel="0" collapsed="false">
      <c r="A90" s="25" t="s">
        <v>46</v>
      </c>
      <c r="B90" s="4" t="n">
        <v>18</v>
      </c>
      <c r="C90" s="6" t="n">
        <f aca="false">MIN(D36:D53)</f>
        <v>1.875</v>
      </c>
      <c r="D90" s="6" t="n">
        <f aca="false">MAX(D36:D53)</f>
        <v>18.75</v>
      </c>
      <c r="E90" s="7" t="n">
        <v>59</v>
      </c>
      <c r="F90" s="8" t="n">
        <f aca="false">(E90-D90)/D90</f>
        <v>2.14666666666667</v>
      </c>
      <c r="G90" s="17"/>
    </row>
    <row r="91" customFormat="false" ht="15" hidden="false" customHeight="true" outlineLevel="0" collapsed="false">
      <c r="A91" s="26" t="s">
        <v>65</v>
      </c>
      <c r="B91" s="4" t="n">
        <v>13</v>
      </c>
      <c r="C91" s="6" t="n">
        <f aca="false">MIN(D54:D66)</f>
        <v>15.75</v>
      </c>
      <c r="D91" s="6" t="n">
        <f aca="false">MAX(D54:D66)</f>
        <v>45</v>
      </c>
      <c r="E91" s="7" t="n">
        <v>149</v>
      </c>
      <c r="F91" s="8" t="n">
        <f aca="false">(E91-D91)/D91</f>
        <v>2.31111111111111</v>
      </c>
      <c r="G91" s="17"/>
    </row>
    <row r="92" customFormat="false" ht="15" hidden="false" customHeight="true" outlineLevel="0" collapsed="false">
      <c r="A92" s="27" t="s">
        <v>79</v>
      </c>
      <c r="B92" s="4" t="n">
        <v>14</v>
      </c>
      <c r="C92" s="6" t="n">
        <f aca="false">MIN(D67:D80)</f>
        <v>52.5</v>
      </c>
      <c r="D92" s="6" t="n">
        <f aca="false">MAX(D67:D80)</f>
        <v>236.25</v>
      </c>
      <c r="E92" s="7" t="n">
        <v>349</v>
      </c>
      <c r="F92" s="8" t="n">
        <f aca="false">(E92-D92)/D92</f>
        <v>0.477248677248677</v>
      </c>
      <c r="G92" s="17"/>
    </row>
    <row r="93" customFormat="false" ht="15" hidden="false" customHeight="true" outlineLevel="0" collapsed="false">
      <c r="A93" s="17"/>
      <c r="B93" s="17"/>
      <c r="C93" s="17"/>
      <c r="D93" s="17"/>
      <c r="E93" s="17"/>
      <c r="F93" s="17"/>
      <c r="G93" s="17"/>
    </row>
    <row r="94" customFormat="false" ht="15" hidden="false" customHeight="true" outlineLevel="0" collapsed="false">
      <c r="A94" s="17"/>
      <c r="B94" s="17"/>
      <c r="C94" s="17"/>
      <c r="D94" s="17"/>
      <c r="E94" s="17"/>
      <c r="F94" s="17"/>
      <c r="G94" s="17"/>
    </row>
    <row r="95" customFormat="false" ht="15" hidden="false" customHeight="true" outlineLevel="0" collapsed="false">
      <c r="A95" s="17"/>
      <c r="B95" s="17"/>
      <c r="C95" s="17"/>
      <c r="D95" s="17"/>
      <c r="E95" s="17"/>
      <c r="F95" s="17"/>
      <c r="G95" s="17"/>
    </row>
    <row r="96" customFormat="false" ht="15" hidden="false" customHeight="true" outlineLevel="0" collapsed="false">
      <c r="A96" s="17"/>
      <c r="B96" s="17"/>
      <c r="C96" s="17"/>
      <c r="D96" s="17"/>
      <c r="E96" s="17"/>
      <c r="F96" s="17"/>
      <c r="G96" s="17"/>
    </row>
    <row r="97" customFormat="false" ht="15" hidden="false" customHeight="true" outlineLevel="0" collapsed="false">
      <c r="A97" s="17"/>
      <c r="B97" s="17"/>
      <c r="C97" s="17"/>
      <c r="D97" s="17"/>
      <c r="E97" s="17"/>
      <c r="F97" s="17"/>
      <c r="G97" s="17"/>
    </row>
    <row r="98" customFormat="false" ht="15" hidden="false" customHeight="true" outlineLevel="0" collapsed="false">
      <c r="A98" s="17"/>
      <c r="B98" s="17"/>
      <c r="C98" s="17"/>
      <c r="D98" s="17"/>
      <c r="E98" s="17"/>
      <c r="F98" s="17"/>
      <c r="G98" s="17"/>
    </row>
    <row r="99" customFormat="false" ht="15" hidden="false" customHeight="true" outlineLevel="0" collapsed="false">
      <c r="A99" s="17"/>
      <c r="B99" s="17"/>
      <c r="C99" s="17"/>
      <c r="D99" s="17"/>
      <c r="E99" s="17"/>
      <c r="F99" s="17"/>
      <c r="G99" s="17"/>
    </row>
    <row r="100" customFormat="false" ht="15" hidden="false" customHeight="true" outlineLevel="0" collapsed="false">
      <c r="A100" s="17"/>
      <c r="B100" s="17"/>
      <c r="C100" s="17"/>
      <c r="D100" s="17"/>
      <c r="E100" s="17"/>
      <c r="F100" s="17"/>
      <c r="G100" s="17"/>
    </row>
    <row r="101" customFormat="false" ht="15" hidden="false" customHeight="true" outlineLevel="0" collapsed="false">
      <c r="A101" s="17"/>
      <c r="B101" s="17"/>
      <c r="C101" s="17"/>
      <c r="D101" s="17"/>
      <c r="E101" s="17"/>
      <c r="F101" s="17"/>
      <c r="G101" s="17"/>
    </row>
    <row r="102" customFormat="false" ht="15" hidden="false" customHeight="true" outlineLevel="0" collapsed="false">
      <c r="A102" s="17"/>
      <c r="B102" s="17"/>
      <c r="C102" s="17"/>
      <c r="D102" s="17"/>
      <c r="E102" s="17"/>
      <c r="F102" s="17"/>
      <c r="G102" s="17"/>
    </row>
    <row r="103" customFormat="false" ht="15" hidden="false" customHeight="true" outlineLevel="0" collapsed="false">
      <c r="A103" s="17"/>
      <c r="B103" s="17"/>
      <c r="C103" s="17"/>
      <c r="D103" s="17"/>
      <c r="E103" s="17"/>
      <c r="F103" s="17"/>
      <c r="G103" s="17"/>
    </row>
    <row r="104" customFormat="false" ht="15" hidden="false" customHeight="true" outlineLevel="0" collapsed="false">
      <c r="A104" s="17"/>
      <c r="B104" s="17"/>
      <c r="C104" s="17"/>
      <c r="D104" s="17"/>
      <c r="E104" s="17"/>
      <c r="F104" s="17"/>
      <c r="G104" s="17"/>
    </row>
    <row r="105" customFormat="false" ht="15" hidden="false" customHeight="true" outlineLevel="0" collapsed="false">
      <c r="A105" s="17"/>
      <c r="B105" s="17"/>
      <c r="C105" s="17"/>
      <c r="D105" s="17"/>
      <c r="E105" s="17"/>
      <c r="F105" s="17"/>
      <c r="G105" s="17"/>
    </row>
    <row r="106" customFormat="false" ht="15" hidden="false" customHeight="true" outlineLevel="0" collapsed="false">
      <c r="A106" s="17"/>
      <c r="B106" s="17"/>
      <c r="C106" s="17"/>
      <c r="D106" s="17"/>
      <c r="E106" s="17"/>
      <c r="F106" s="17"/>
      <c r="G106" s="17"/>
    </row>
    <row r="107" customFormat="false" ht="15" hidden="false" customHeight="true" outlineLevel="0" collapsed="false">
      <c r="A107" s="17"/>
      <c r="B107" s="17"/>
      <c r="C107" s="17"/>
      <c r="D107" s="17"/>
      <c r="E107" s="17"/>
      <c r="F107" s="17"/>
      <c r="G107" s="17"/>
    </row>
    <row r="108" customFormat="false" ht="15" hidden="false" customHeight="true" outlineLevel="0" collapsed="false">
      <c r="A108" s="17"/>
      <c r="B108" s="17"/>
      <c r="C108" s="17"/>
      <c r="D108" s="17"/>
      <c r="E108" s="17"/>
      <c r="F108" s="17"/>
      <c r="G108" s="17"/>
    </row>
    <row r="109" customFormat="false" ht="15" hidden="false" customHeight="true" outlineLevel="0" collapsed="false">
      <c r="A109" s="17"/>
      <c r="B109" s="17"/>
      <c r="C109" s="17"/>
      <c r="D109" s="17"/>
      <c r="E109" s="17"/>
      <c r="F109" s="17"/>
      <c r="G109" s="17"/>
    </row>
    <row r="110" customFormat="false" ht="15" hidden="false" customHeight="true" outlineLevel="0" collapsed="false">
      <c r="A110" s="17"/>
      <c r="B110" s="17"/>
      <c r="C110" s="17"/>
      <c r="D110" s="17"/>
      <c r="E110" s="17"/>
      <c r="F110" s="17"/>
      <c r="G110" s="17"/>
    </row>
    <row r="111" customFormat="false" ht="15" hidden="false" customHeight="true" outlineLevel="0" collapsed="false">
      <c r="A111" s="17"/>
      <c r="B111" s="17"/>
      <c r="C111" s="17"/>
      <c r="D111" s="17"/>
      <c r="E111" s="17"/>
      <c r="F111" s="17"/>
      <c r="G111" s="17"/>
    </row>
    <row r="112" customFormat="false" ht="15" hidden="false" customHeight="true" outlineLevel="0" collapsed="false">
      <c r="A112" s="17"/>
      <c r="B112" s="17"/>
      <c r="C112" s="17"/>
      <c r="D112" s="17"/>
      <c r="E112" s="17"/>
      <c r="F112" s="17"/>
      <c r="G112" s="17"/>
    </row>
    <row r="113" customFormat="false" ht="15" hidden="false" customHeight="true" outlineLevel="0" collapsed="false">
      <c r="A113" s="17"/>
      <c r="B113" s="17"/>
      <c r="C113" s="17"/>
      <c r="D113" s="17"/>
      <c r="E113" s="17"/>
      <c r="F113" s="17"/>
      <c r="G113" s="17"/>
    </row>
    <row r="114" customFormat="false" ht="15" hidden="false" customHeight="true" outlineLevel="0" collapsed="false">
      <c r="A114" s="17"/>
      <c r="B114" s="17"/>
      <c r="C114" s="17"/>
      <c r="D114" s="17"/>
      <c r="E114" s="17"/>
      <c r="F114" s="17"/>
      <c r="G114" s="17"/>
    </row>
    <row r="115" customFormat="false" ht="15" hidden="false" customHeight="true" outlineLevel="0" collapsed="false">
      <c r="A115" s="17"/>
      <c r="B115" s="17"/>
      <c r="C115" s="17"/>
      <c r="D115" s="17"/>
      <c r="E115" s="17"/>
      <c r="F115" s="17"/>
      <c r="G115" s="17"/>
    </row>
    <row r="116" customFormat="false" ht="15" hidden="false" customHeight="true" outlineLevel="0" collapsed="false">
      <c r="A116" s="17"/>
      <c r="B116" s="17"/>
      <c r="C116" s="17"/>
      <c r="D116" s="17"/>
      <c r="E116" s="17"/>
      <c r="F116" s="17"/>
      <c r="G116" s="17"/>
    </row>
    <row r="117" customFormat="false" ht="15" hidden="false" customHeight="true" outlineLevel="0" collapsed="false">
      <c r="A117" s="17"/>
      <c r="B117" s="17"/>
      <c r="C117" s="17"/>
      <c r="D117" s="17"/>
      <c r="E117" s="17"/>
      <c r="F117" s="17"/>
      <c r="G117" s="17"/>
    </row>
    <row r="118" customFormat="false" ht="15" hidden="false" customHeight="true" outlineLevel="0" collapsed="false">
      <c r="A118" s="17"/>
      <c r="B118" s="17"/>
      <c r="C118" s="17"/>
      <c r="D118" s="17"/>
      <c r="E118" s="17"/>
      <c r="F118" s="17"/>
      <c r="G118" s="17"/>
    </row>
    <row r="119" customFormat="false" ht="15" hidden="false" customHeight="true" outlineLevel="0" collapsed="false">
      <c r="A119" s="17"/>
      <c r="B119" s="17"/>
      <c r="C119" s="17"/>
      <c r="D119" s="17"/>
      <c r="E119" s="17"/>
      <c r="F119" s="17"/>
      <c r="G119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4"/>
    <col collapsed="false" customWidth="true" hidden="false" outlineLevel="0" max="7" min="7" style="1" width="8"/>
    <col collapsed="false" customWidth="true" hidden="false" outlineLevel="0" max="9" min="8" style="1" width="14"/>
    <col collapsed="false" customWidth="true" hidden="false" outlineLevel="0" max="10" min="10" style="1" width="8"/>
    <col collapsed="false" customWidth="true" hidden="false" outlineLevel="0" max="11" min="11" style="1" width="14"/>
    <col collapsed="false" customWidth="true" hidden="false" outlineLevel="0" max="12" min="12" style="0" width="8"/>
  </cols>
  <sheetData>
    <row r="1" customFormat="false" ht="26.25" hidden="false" customHeight="true" outlineLevel="0" collapsed="false">
      <c r="A1" s="2" t="s">
        <v>0</v>
      </c>
      <c r="B1" s="2" t="s">
        <v>96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102</v>
      </c>
      <c r="H1" s="2" t="s">
        <v>103</v>
      </c>
      <c r="I1" s="2" t="s">
        <v>104</v>
      </c>
      <c r="J1" s="2" t="s">
        <v>102</v>
      </c>
      <c r="K1" s="2" t="s">
        <v>103</v>
      </c>
      <c r="L1" s="2" t="s">
        <v>104</v>
      </c>
      <c r="M1" s="28"/>
    </row>
    <row r="2" customFormat="false" ht="15" hidden="false" customHeight="true" outlineLevel="0" collapsed="false">
      <c r="A2" s="20" t="s">
        <v>7</v>
      </c>
      <c r="B2" s="29" t="n">
        <v>9</v>
      </c>
      <c r="C2" s="30" t="n">
        <v>9</v>
      </c>
      <c r="D2" s="4" t="n">
        <v>10</v>
      </c>
      <c r="E2" s="31" t="n">
        <v>79</v>
      </c>
      <c r="F2" s="8" t="n">
        <f aca="false">1-(E2/(C2*D2))</f>
        <v>0.122222222222222</v>
      </c>
      <c r="G2" s="4" t="n">
        <v>50</v>
      </c>
      <c r="H2" s="31" t="n">
        <v>359</v>
      </c>
      <c r="I2" s="8" t="n">
        <f aca="false">1-(H2/(C2*G2))</f>
        <v>0.202222222222222</v>
      </c>
      <c r="J2" s="4" t="n">
        <v>100</v>
      </c>
      <c r="K2" s="31" t="n">
        <v>649</v>
      </c>
      <c r="L2" s="8" t="n">
        <f aca="false">1-(K2/(C2*J2))</f>
        <v>0.278888888888889</v>
      </c>
      <c r="M2" s="28"/>
    </row>
    <row r="3" customFormat="false" ht="15" hidden="false" customHeight="true" outlineLevel="0" collapsed="false">
      <c r="A3" s="21" t="s">
        <v>17</v>
      </c>
      <c r="B3" s="29" t="n">
        <v>6</v>
      </c>
      <c r="C3" s="30" t="n">
        <v>19</v>
      </c>
      <c r="D3" s="4" t="n">
        <v>10</v>
      </c>
      <c r="E3" s="31" t="n">
        <v>169</v>
      </c>
      <c r="F3" s="8" t="n">
        <f aca="false">1-(E3/(C3*D3))</f>
        <v>0.110526315789474</v>
      </c>
      <c r="G3" s="4" t="n">
        <v>50</v>
      </c>
      <c r="H3" s="31" t="n">
        <v>769</v>
      </c>
      <c r="I3" s="8" t="n">
        <f aca="false">1-(H3/(C3*G3))</f>
        <v>0.190526315789474</v>
      </c>
      <c r="J3" s="4" t="n">
        <v>100</v>
      </c>
      <c r="K3" s="31" t="n">
        <v>1399</v>
      </c>
      <c r="L3" s="8" t="n">
        <f aca="false">1-(K3/(C3*J3))</f>
        <v>0.263684210526316</v>
      </c>
      <c r="M3" s="28"/>
    </row>
    <row r="4" customFormat="false" ht="15" hidden="false" customHeight="true" outlineLevel="0" collapsed="false">
      <c r="A4" s="22" t="s">
        <v>24</v>
      </c>
      <c r="B4" s="29" t="n">
        <v>10</v>
      </c>
      <c r="C4" s="30" t="n">
        <v>35</v>
      </c>
      <c r="D4" s="4" t="n">
        <v>10</v>
      </c>
      <c r="E4" s="31" t="n">
        <v>299</v>
      </c>
      <c r="F4" s="8" t="n">
        <f aca="false">1-(E4/(C4*D4))</f>
        <v>0.145714285714286</v>
      </c>
      <c r="G4" s="4" t="n">
        <v>50</v>
      </c>
      <c r="H4" s="31" t="n">
        <v>1399</v>
      </c>
      <c r="I4" s="8" t="n">
        <f aca="false">1-(H4/(C4*G4))</f>
        <v>0.200571428571429</v>
      </c>
      <c r="J4" s="4" t="n">
        <v>100</v>
      </c>
      <c r="K4" s="31" t="n">
        <v>2499</v>
      </c>
      <c r="L4" s="8" t="n">
        <f aca="false">1-(K4/(C4*J4))</f>
        <v>0.286</v>
      </c>
      <c r="M4" s="28"/>
    </row>
    <row r="5" customFormat="false" ht="15" hidden="false" customHeight="true" outlineLevel="0" collapsed="false">
      <c r="A5" s="23" t="s">
        <v>35</v>
      </c>
      <c r="B5" s="29" t="n">
        <v>1</v>
      </c>
      <c r="C5" s="30" t="n">
        <v>5</v>
      </c>
      <c r="D5" s="4" t="n">
        <v>20</v>
      </c>
      <c r="E5" s="31" t="n">
        <v>79</v>
      </c>
      <c r="F5" s="8" t="n">
        <f aca="false">1-(E5/(C5*D5))</f>
        <v>0.21</v>
      </c>
      <c r="G5" s="4" t="n">
        <v>100</v>
      </c>
      <c r="H5" s="31" t="n">
        <v>349</v>
      </c>
      <c r="I5" s="8" t="n">
        <f aca="false">1-(H5/(C5*G5))</f>
        <v>0.302</v>
      </c>
      <c r="J5" s="4" t="n">
        <v>250</v>
      </c>
      <c r="K5" s="31" t="n">
        <v>799</v>
      </c>
      <c r="L5" s="8" t="n">
        <f aca="false">1-(K5/(C5*J5))</f>
        <v>0.3608</v>
      </c>
      <c r="M5" s="28"/>
    </row>
    <row r="6" customFormat="false" ht="15" hidden="false" customHeight="true" outlineLevel="0" collapsed="false">
      <c r="A6" s="24" t="s">
        <v>37</v>
      </c>
      <c r="B6" s="29" t="n">
        <v>8</v>
      </c>
      <c r="C6" s="30" t="n">
        <v>15</v>
      </c>
      <c r="D6" s="4" t="n">
        <v>10</v>
      </c>
      <c r="E6" s="31" t="n">
        <v>129</v>
      </c>
      <c r="F6" s="8" t="n">
        <f aca="false">1-(E6/(C6*D6))</f>
        <v>0.14</v>
      </c>
      <c r="G6" s="4" t="n">
        <v>50</v>
      </c>
      <c r="H6" s="31" t="n">
        <v>599</v>
      </c>
      <c r="I6" s="8" t="n">
        <f aca="false">1-(H6/(C6*G6))</f>
        <v>0.201333333333333</v>
      </c>
      <c r="J6" s="4" t="n">
        <v>100</v>
      </c>
      <c r="K6" s="31" t="n">
        <v>999</v>
      </c>
      <c r="L6" s="8" t="n">
        <f aca="false">1-(K6/(C6*J6))</f>
        <v>0.334</v>
      </c>
      <c r="M6" s="28"/>
    </row>
    <row r="7" customFormat="false" ht="15" hidden="false" customHeight="true" outlineLevel="0" collapsed="false">
      <c r="A7" s="25" t="s">
        <v>46</v>
      </c>
      <c r="B7" s="29" t="n">
        <v>18</v>
      </c>
      <c r="C7" s="30" t="n">
        <v>59</v>
      </c>
      <c r="D7" s="4" t="n">
        <v>5</v>
      </c>
      <c r="E7" s="31" t="n">
        <v>269</v>
      </c>
      <c r="F7" s="8" t="n">
        <f aca="false">1-(E7/(C7*D7))</f>
        <v>0.088135593220339</v>
      </c>
      <c r="G7" s="4" t="n">
        <v>10</v>
      </c>
      <c r="H7" s="31" t="n">
        <v>499</v>
      </c>
      <c r="I7" s="8" t="n">
        <f aca="false">1-(H7/(C7*G7))</f>
        <v>0.154237288135593</v>
      </c>
      <c r="J7" s="4" t="n">
        <v>25</v>
      </c>
      <c r="K7" s="31" t="n">
        <v>1099</v>
      </c>
      <c r="L7" s="8" t="n">
        <f aca="false">1-(K7/(C7*J7))</f>
        <v>0.254915254237288</v>
      </c>
      <c r="M7" s="28"/>
    </row>
    <row r="8" customFormat="false" ht="15" hidden="false" customHeight="true" outlineLevel="0" collapsed="false">
      <c r="A8" s="26" t="s">
        <v>65</v>
      </c>
      <c r="B8" s="29" t="n">
        <v>13</v>
      </c>
      <c r="C8" s="30" t="n">
        <v>149</v>
      </c>
      <c r="D8" s="4" t="n">
        <v>5</v>
      </c>
      <c r="E8" s="31" t="n">
        <v>669</v>
      </c>
      <c r="F8" s="8" t="n">
        <f aca="false">1-(E8/(C8*D8))</f>
        <v>0.102013422818792</v>
      </c>
      <c r="G8" s="4" t="n">
        <v>10</v>
      </c>
      <c r="H8" s="31" t="n">
        <v>1249</v>
      </c>
      <c r="I8" s="8" t="n">
        <f aca="false">1-(H8/(C8*G8))</f>
        <v>0.161744966442953</v>
      </c>
      <c r="J8" s="4" t="n">
        <v>25</v>
      </c>
      <c r="K8" s="31" t="n">
        <v>2799</v>
      </c>
      <c r="L8" s="8" t="n">
        <f aca="false">1-(K8/(C8*J8))</f>
        <v>0.248590604026846</v>
      </c>
      <c r="M8" s="28"/>
    </row>
    <row r="9" customFormat="false" ht="15" hidden="false" customHeight="true" outlineLevel="0" collapsed="false">
      <c r="A9" s="27" t="s">
        <v>79</v>
      </c>
      <c r="B9" s="29" t="n">
        <v>14</v>
      </c>
      <c r="C9" s="30" t="n">
        <v>349</v>
      </c>
      <c r="D9" s="4" t="n">
        <v>3</v>
      </c>
      <c r="E9" s="31" t="n">
        <v>949</v>
      </c>
      <c r="F9" s="8" t="n">
        <f aca="false">1-(E9/(C9*D9))</f>
        <v>0.0936007640878701</v>
      </c>
      <c r="G9" s="4" t="n">
        <v>5</v>
      </c>
      <c r="H9" s="31" t="n">
        <v>1499</v>
      </c>
      <c r="I9" s="8" t="n">
        <f aca="false">1-(H9/(C9*G9))</f>
        <v>0.140974212034384</v>
      </c>
      <c r="J9" s="4" t="n">
        <v>10</v>
      </c>
      <c r="K9" s="31" t="n">
        <v>2799</v>
      </c>
      <c r="L9" s="8" t="n">
        <f aca="false">1-(K9/(C9*J9))</f>
        <v>0.197994269340974</v>
      </c>
      <c r="M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36"/>
  </cols>
  <sheetData>
    <row r="1" customFormat="false" ht="15" hidden="false" customHeight="true" outlineLevel="0" collapsed="false">
      <c r="A1" s="2" t="s">
        <v>105</v>
      </c>
      <c r="B1" s="2" t="s">
        <v>106</v>
      </c>
      <c r="C1" s="2" t="s">
        <v>107</v>
      </c>
      <c r="D1" s="28"/>
    </row>
    <row r="2" customFormat="false" ht="15" hidden="false" customHeight="true" outlineLevel="0" collapsed="false">
      <c r="A2" s="32" t="s">
        <v>108</v>
      </c>
      <c r="B2" s="33" t="n">
        <v>169</v>
      </c>
      <c r="C2" s="34" t="s">
        <v>109</v>
      </c>
      <c r="D2" s="28"/>
    </row>
    <row r="3" customFormat="false" ht="15" hidden="false" customHeight="true" outlineLevel="0" collapsed="false">
      <c r="A3" s="32" t="s">
        <v>110</v>
      </c>
      <c r="B3" s="33" t="n">
        <v>349</v>
      </c>
      <c r="C3" s="34" t="s">
        <v>111</v>
      </c>
      <c r="D3" s="28"/>
    </row>
    <row r="4" customFormat="false" ht="15" hidden="false" customHeight="true" outlineLevel="0" collapsed="false">
      <c r="A4" s="32" t="s">
        <v>112</v>
      </c>
      <c r="B4" s="33" t="n">
        <v>249</v>
      </c>
      <c r="C4" s="34" t="s">
        <v>113</v>
      </c>
      <c r="D4" s="28"/>
    </row>
    <row r="5" customFormat="false" ht="15" hidden="false" customHeight="true" outlineLevel="0" collapsed="false">
      <c r="A5" s="32" t="s">
        <v>114</v>
      </c>
      <c r="B5" s="35" t="n">
        <v>0.35</v>
      </c>
      <c r="C5" s="34" t="s">
        <v>115</v>
      </c>
      <c r="D5" s="28"/>
    </row>
    <row r="6" customFormat="false" ht="15" hidden="false" customHeight="true" outlineLevel="0" collapsed="false">
      <c r="A6" s="32" t="s">
        <v>116</v>
      </c>
      <c r="B6" s="35" t="n">
        <v>0.08</v>
      </c>
      <c r="C6" s="34" t="s">
        <v>117</v>
      </c>
      <c r="D6" s="28"/>
    </row>
    <row r="7" customFormat="false" ht="15" hidden="false" customHeight="true" outlineLevel="0" collapsed="false">
      <c r="A7" s="32" t="s">
        <v>118</v>
      </c>
      <c r="B7" s="35" t="n">
        <v>0.4</v>
      </c>
      <c r="C7" s="34" t="s">
        <v>119</v>
      </c>
      <c r="D7" s="28"/>
    </row>
    <row r="8" customFormat="false" ht="15" hidden="false" customHeight="true" outlineLevel="0" collapsed="false">
      <c r="A8" s="32" t="s">
        <v>120</v>
      </c>
      <c r="B8" s="33" t="n">
        <v>3.5</v>
      </c>
      <c r="C8" s="34" t="s">
        <v>121</v>
      </c>
      <c r="D8" s="28"/>
    </row>
    <row r="9" customFormat="false" ht="15" hidden="false" customHeight="true" outlineLevel="0" collapsed="false">
      <c r="A9" s="32" t="s">
        <v>122</v>
      </c>
      <c r="B9" s="35" t="n">
        <v>0.3</v>
      </c>
      <c r="C9" s="34" t="s">
        <v>123</v>
      </c>
      <c r="D9" s="28"/>
    </row>
    <row r="10" customFormat="false" ht="15" hidden="false" customHeight="true" outlineLevel="0" collapsed="false">
      <c r="A10" s="32" t="s">
        <v>124</v>
      </c>
      <c r="B10" s="35" t="n">
        <v>0.15</v>
      </c>
      <c r="C10" s="34" t="s">
        <v>125</v>
      </c>
      <c r="D10" s="28"/>
    </row>
    <row r="11" customFormat="false" ht="15" hidden="false" customHeight="true" outlineLevel="0" collapsed="false">
      <c r="A11" s="32" t="s">
        <v>126</v>
      </c>
      <c r="B11" s="35" t="n">
        <v>0.2</v>
      </c>
      <c r="C11" s="34" t="s">
        <v>127</v>
      </c>
      <c r="D11" s="28"/>
    </row>
    <row r="12" customFormat="false" ht="15" hidden="false" customHeight="true" outlineLevel="0" collapsed="false">
      <c r="A12" s="32" t="s">
        <v>128</v>
      </c>
      <c r="B12" s="33" t="n">
        <v>4.8</v>
      </c>
      <c r="C12" s="34" t="s">
        <v>129</v>
      </c>
      <c r="D12" s="28"/>
    </row>
    <row r="13" customFormat="false" ht="15" hidden="false" customHeight="true" outlineLevel="0" collapsed="false">
      <c r="A13" s="32" t="s">
        <v>130</v>
      </c>
      <c r="B13" s="33" t="n">
        <v>12</v>
      </c>
      <c r="C13" s="34" t="s">
        <v>131</v>
      </c>
      <c r="D13" s="28"/>
    </row>
    <row r="14" customFormat="false" ht="15" hidden="false" customHeight="true" outlineLevel="0" collapsed="false">
      <c r="A14" s="32" t="s">
        <v>132</v>
      </c>
      <c r="B14" s="33" t="n">
        <v>75</v>
      </c>
      <c r="C14" s="34" t="s">
        <v>133</v>
      </c>
      <c r="D14" s="28"/>
    </row>
    <row r="15" customFormat="false" ht="15" hidden="false" customHeight="true" outlineLevel="0" collapsed="false">
      <c r="A15" s="36"/>
      <c r="B15" s="36"/>
      <c r="C15" s="36"/>
      <c r="D15" s="28"/>
    </row>
    <row r="16" customFormat="false" ht="15" hidden="false" customHeight="false" outlineLevel="0" collapsed="false">
      <c r="A16" s="2" t="s">
        <v>134</v>
      </c>
      <c r="B16" s="2" t="s">
        <v>106</v>
      </c>
      <c r="C16" s="2" t="s">
        <v>135</v>
      </c>
      <c r="D16" s="28"/>
    </row>
    <row r="17" customFormat="false" ht="15" hidden="false" customHeight="true" outlineLevel="0" collapsed="false">
      <c r="A17" s="37" t="s">
        <v>136</v>
      </c>
      <c r="B17" s="38" t="n">
        <f aca="false">B4*B8</f>
        <v>871.5</v>
      </c>
      <c r="C17" s="34" t="s">
        <v>137</v>
      </c>
      <c r="D17" s="28"/>
    </row>
    <row r="18" customFormat="false" ht="15" hidden="false" customHeight="true" outlineLevel="0" collapsed="false">
      <c r="A18" s="32" t="s">
        <v>138</v>
      </c>
      <c r="B18" s="39" t="n">
        <f aca="false">B17*1.6</f>
        <v>1394.4</v>
      </c>
      <c r="C18" s="34" t="s">
        <v>139</v>
      </c>
      <c r="D18" s="28"/>
    </row>
    <row r="19" customFormat="false" ht="15" hidden="false" customHeight="true" outlineLevel="0" collapsed="false">
      <c r="A19" s="32" t="s">
        <v>140</v>
      </c>
      <c r="B19" s="39" t="n">
        <f aca="false">B12*B13*B8</f>
        <v>201.6</v>
      </c>
      <c r="C19" s="34" t="s">
        <v>141</v>
      </c>
      <c r="D19" s="28"/>
    </row>
    <row r="20" customFormat="false" ht="15" hidden="false" customHeight="true" outlineLevel="0" collapsed="false">
      <c r="A20" s="37" t="s">
        <v>142</v>
      </c>
      <c r="B20" s="38" t="n">
        <f aca="false">B17-B19</f>
        <v>669.9</v>
      </c>
      <c r="C20" s="34" t="s">
        <v>143</v>
      </c>
      <c r="D20" s="28"/>
    </row>
    <row r="21" customFormat="false" ht="15" hidden="false" customHeight="true" outlineLevel="0" collapsed="false">
      <c r="A21" s="32" t="s">
        <v>144</v>
      </c>
      <c r="B21" s="39" t="n">
        <f aca="false">B17*B9*((B10+B11)/2)</f>
        <v>45.75375</v>
      </c>
      <c r="C21" s="34" t="s">
        <v>145</v>
      </c>
      <c r="D21" s="28"/>
    </row>
    <row r="22" customFormat="false" ht="15" hidden="false" customHeight="true" outlineLevel="0" collapsed="false">
      <c r="A22" s="37" t="s">
        <v>146</v>
      </c>
      <c r="B22" s="38" t="n">
        <f aca="false">B20-B21</f>
        <v>624.14625</v>
      </c>
      <c r="C22" s="34" t="s">
        <v>147</v>
      </c>
      <c r="D22" s="28"/>
    </row>
    <row r="23" customFormat="false" ht="15" hidden="false" customHeight="true" outlineLevel="0" collapsed="false">
      <c r="A23" s="40"/>
      <c r="B23" s="40"/>
      <c r="C23" s="40"/>
      <c r="D23" s="28"/>
    </row>
    <row r="24" customFormat="false" ht="15" hidden="false" customHeight="false" outlineLevel="0" collapsed="false">
      <c r="A24" s="28"/>
      <c r="B24" s="28"/>
      <c r="C24" s="28"/>
      <c r="D24" s="28"/>
    </row>
    <row r="25" customFormat="false" ht="15" hidden="false" customHeight="false" outlineLevel="0" collapsed="false">
      <c r="A25" s="28"/>
      <c r="B25" s="28"/>
      <c r="C25" s="28"/>
      <c r="D25" s="28"/>
    </row>
    <row r="26" customFormat="false" ht="15" hidden="false" customHeight="false" outlineLevel="0" collapsed="false">
      <c r="A26" s="28"/>
      <c r="B26" s="28"/>
      <c r="C26" s="28"/>
      <c r="D26" s="28"/>
    </row>
    <row r="27" customFormat="false" ht="15" hidden="false" customHeight="false" outlineLevel="0" collapsed="false">
      <c r="A27" s="28"/>
      <c r="B27" s="28"/>
      <c r="C27" s="28"/>
      <c r="D27" s="28"/>
    </row>
    <row r="28" customFormat="false" ht="15" hidden="false" customHeight="false" outlineLevel="0" collapsed="false">
      <c r="A28" s="28"/>
      <c r="B28" s="28"/>
      <c r="C28" s="28"/>
      <c r="D28" s="28"/>
    </row>
    <row r="29" customFormat="false" ht="15" hidden="false" customHeight="false" outlineLevel="0" collapsed="false">
      <c r="A29" s="28"/>
      <c r="B29" s="28"/>
      <c r="C29" s="28"/>
      <c r="D29" s="28"/>
    </row>
    <row r="30" customFormat="false" ht="15" hidden="false" customHeight="false" outlineLevel="0" collapsed="false">
      <c r="A30" s="28"/>
      <c r="B30" s="28"/>
      <c r="C30" s="28"/>
      <c r="D30" s="28"/>
    </row>
    <row r="31" customFormat="false" ht="15" hidden="false" customHeight="false" outlineLevel="0" collapsed="false">
      <c r="A31" s="28"/>
      <c r="B31" s="28"/>
      <c r="C31" s="28"/>
      <c r="D31" s="28"/>
    </row>
    <row r="32" customFormat="false" ht="15" hidden="false" customHeight="false" outlineLevel="0" collapsed="false">
      <c r="A32" s="28"/>
      <c r="B32" s="28"/>
      <c r="C32" s="28"/>
      <c r="D32" s="28"/>
    </row>
    <row r="33" customFormat="false" ht="15" hidden="false" customHeight="false" outlineLevel="0" collapsed="false">
      <c r="A33" s="28"/>
      <c r="B33" s="28"/>
      <c r="C33" s="28"/>
      <c r="D33" s="28"/>
    </row>
    <row r="34" customFormat="false" ht="15" hidden="false" customHeight="false" outlineLevel="0" collapsed="false">
      <c r="A34" s="28"/>
      <c r="B34" s="28"/>
      <c r="C34" s="28"/>
      <c r="D3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7" min="4" style="1" width="12"/>
    <col collapsed="false" customWidth="true" hidden="false" outlineLevel="0" max="8" min="8" style="1" width="14"/>
    <col collapsed="false" customWidth="true" hidden="false" outlineLevel="0" max="9" min="9" style="1" width="16"/>
  </cols>
  <sheetData>
    <row r="1" customFormat="false" ht="17.25" hidden="false" customHeight="true" outlineLevel="0" collapsed="false">
      <c r="A1" s="41" t="s">
        <v>148</v>
      </c>
      <c r="B1" s="41"/>
      <c r="C1" s="41"/>
      <c r="D1" s="41"/>
      <c r="E1" s="41"/>
      <c r="F1" s="41"/>
      <c r="G1" s="41"/>
      <c r="H1" s="41"/>
      <c r="I1" s="41"/>
    </row>
    <row r="2" customFormat="false" ht="15" hidden="false" customHeight="true" outlineLevel="0" collapsed="false">
      <c r="A2" s="42"/>
      <c r="B2" s="42"/>
      <c r="C2" s="42"/>
      <c r="D2" s="42"/>
      <c r="E2" s="42"/>
      <c r="F2" s="42"/>
      <c r="G2" s="42"/>
      <c r="H2" s="42"/>
      <c r="I2" s="42"/>
    </row>
    <row r="3" customFormat="false" ht="26.25" hidden="false" customHeight="true" outlineLevel="0" collapsed="false">
      <c r="A3" s="2" t="s">
        <v>149</v>
      </c>
      <c r="B3" s="2" t="s">
        <v>106</v>
      </c>
      <c r="C3" s="2" t="s">
        <v>107</v>
      </c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43" t="s">
        <v>150</v>
      </c>
      <c r="B4" s="44" t="s">
        <v>151</v>
      </c>
      <c r="C4" s="45" t="s">
        <v>152</v>
      </c>
      <c r="D4" s="42"/>
      <c r="E4" s="42"/>
      <c r="F4" s="42"/>
      <c r="G4" s="42"/>
      <c r="H4" s="42"/>
      <c r="I4" s="42"/>
    </row>
    <row r="5" customFormat="false" ht="15" hidden="false" customHeight="true" outlineLevel="0" collapsed="false">
      <c r="A5" s="43" t="s">
        <v>153</v>
      </c>
      <c r="B5" s="44" t="s">
        <v>154</v>
      </c>
      <c r="C5" s="45" t="s">
        <v>155</v>
      </c>
      <c r="D5" s="42"/>
      <c r="E5" s="42"/>
      <c r="F5" s="42"/>
      <c r="G5" s="42"/>
      <c r="H5" s="42"/>
      <c r="I5" s="42"/>
    </row>
    <row r="6" customFormat="false" ht="15" hidden="false" customHeight="true" outlineLevel="0" collapsed="false">
      <c r="A6" s="43" t="s">
        <v>156</v>
      </c>
      <c r="B6" s="44" t="s">
        <v>157</v>
      </c>
      <c r="C6" s="45" t="s">
        <v>158</v>
      </c>
      <c r="D6" s="42"/>
      <c r="E6" s="42"/>
      <c r="F6" s="42"/>
      <c r="G6" s="42"/>
      <c r="H6" s="42"/>
      <c r="I6" s="42"/>
    </row>
    <row r="7" customFormat="false" ht="15" hidden="false" customHeight="true" outlineLevel="0" collapsed="false">
      <c r="A7" s="43" t="s">
        <v>159</v>
      </c>
      <c r="B7" s="44" t="s">
        <v>160</v>
      </c>
      <c r="C7" s="45"/>
      <c r="D7" s="42"/>
      <c r="E7" s="42"/>
      <c r="F7" s="42"/>
      <c r="G7" s="42"/>
      <c r="H7" s="42"/>
      <c r="I7" s="42"/>
    </row>
    <row r="8" customFormat="false" ht="1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</row>
    <row r="9" customFormat="false" ht="15" hidden="false" customHeight="true" outlineLevel="0" collapsed="false">
      <c r="A9" s="2" t="s">
        <v>161</v>
      </c>
      <c r="B9" s="2" t="s">
        <v>162</v>
      </c>
      <c r="C9" s="2" t="s">
        <v>163</v>
      </c>
      <c r="D9" s="2" t="s">
        <v>164</v>
      </c>
      <c r="E9" s="2" t="s">
        <v>165</v>
      </c>
      <c r="F9" s="2" t="s">
        <v>166</v>
      </c>
      <c r="G9" s="2" t="s">
        <v>167</v>
      </c>
      <c r="H9" s="2" t="s">
        <v>168</v>
      </c>
      <c r="I9" s="2" t="s">
        <v>169</v>
      </c>
    </row>
    <row r="10" customFormat="false" ht="15" hidden="false" customHeight="true" outlineLevel="0" collapsed="false">
      <c r="A10" s="43" t="s">
        <v>170</v>
      </c>
      <c r="B10" s="7" t="n">
        <v>0</v>
      </c>
      <c r="C10" s="46" t="n">
        <f aca="false">B10*6</f>
        <v>0</v>
      </c>
      <c r="D10" s="45" t="s">
        <v>171</v>
      </c>
      <c r="E10" s="47" t="n">
        <v>800</v>
      </c>
      <c r="F10" s="48" t="n">
        <f aca="false">E10*6</f>
        <v>4800</v>
      </c>
      <c r="G10" s="49" t="n">
        <v>0.1</v>
      </c>
      <c r="H10" s="48" t="n">
        <f aca="false">F10*G10</f>
        <v>480</v>
      </c>
      <c r="I10" s="46" t="n">
        <f aca="false">H10*249*3.5</f>
        <v>418320</v>
      </c>
    </row>
    <row r="11" customFormat="false" ht="26.25" hidden="false" customHeight="true" outlineLevel="0" collapsed="false">
      <c r="A11" s="43" t="s">
        <v>172</v>
      </c>
      <c r="B11" s="7" t="n">
        <v>60000</v>
      </c>
      <c r="C11" s="46" t="n">
        <f aca="false">B11*6</f>
        <v>360000</v>
      </c>
      <c r="D11" s="45" t="s">
        <v>173</v>
      </c>
      <c r="E11" s="47" t="n">
        <v>700</v>
      </c>
      <c r="F11" s="48" t="n">
        <f aca="false">E11*6</f>
        <v>4200</v>
      </c>
      <c r="G11" s="49" t="n">
        <v>0.06</v>
      </c>
      <c r="H11" s="48" t="n">
        <f aca="false">F11*G11</f>
        <v>252</v>
      </c>
      <c r="I11" s="46" t="n">
        <f aca="false">H11*249*3.5</f>
        <v>219618</v>
      </c>
    </row>
    <row r="12" customFormat="false" ht="15" hidden="false" customHeight="true" outlineLevel="0" collapsed="false">
      <c r="A12" s="43" t="s">
        <v>174</v>
      </c>
      <c r="B12" s="7" t="n">
        <v>100000</v>
      </c>
      <c r="C12" s="46" t="n">
        <f aca="false">B12*6</f>
        <v>600000</v>
      </c>
      <c r="D12" s="45" t="s">
        <v>173</v>
      </c>
      <c r="E12" s="47" t="n">
        <v>1200</v>
      </c>
      <c r="F12" s="48" t="n">
        <f aca="false">E12*6</f>
        <v>7200</v>
      </c>
      <c r="G12" s="49" t="n">
        <v>0.06</v>
      </c>
      <c r="H12" s="48" t="n">
        <f aca="false">F12*G12</f>
        <v>432</v>
      </c>
      <c r="I12" s="46" t="n">
        <f aca="false">H12*249*3.5</f>
        <v>376488</v>
      </c>
    </row>
    <row r="13" customFormat="false" ht="15" hidden="false" customHeight="true" outlineLevel="0" collapsed="false">
      <c r="A13" s="43" t="s">
        <v>175</v>
      </c>
      <c r="B13" s="7" t="n">
        <v>10000</v>
      </c>
      <c r="C13" s="46" t="n">
        <f aca="false">B13*6</f>
        <v>60000</v>
      </c>
      <c r="D13" s="45" t="s">
        <v>173</v>
      </c>
      <c r="E13" s="47" t="n">
        <v>600</v>
      </c>
      <c r="F13" s="48" t="n">
        <f aca="false">E13*6</f>
        <v>3600</v>
      </c>
      <c r="G13" s="49" t="n">
        <v>0.07</v>
      </c>
      <c r="H13" s="48" t="n">
        <f aca="false">F13*G13</f>
        <v>252</v>
      </c>
      <c r="I13" s="46" t="n">
        <f aca="false">H13*249*3.5</f>
        <v>219618</v>
      </c>
    </row>
    <row r="14" customFormat="false" ht="15" hidden="false" customHeight="true" outlineLevel="0" collapsed="false">
      <c r="A14" s="43" t="s">
        <v>176</v>
      </c>
      <c r="B14" s="7" t="n">
        <v>0</v>
      </c>
      <c r="C14" s="46" t="n">
        <f aca="false">B14*6</f>
        <v>0</v>
      </c>
      <c r="D14" s="45" t="s">
        <v>177</v>
      </c>
      <c r="E14" s="47" t="n">
        <v>500</v>
      </c>
      <c r="F14" s="48" t="n">
        <f aca="false">E14*6</f>
        <v>3000</v>
      </c>
      <c r="G14" s="49" t="n">
        <v>0.1</v>
      </c>
      <c r="H14" s="48" t="n">
        <f aca="false">F14*G14</f>
        <v>300</v>
      </c>
      <c r="I14" s="46" t="n">
        <f aca="false">H14*249*3.5</f>
        <v>261450</v>
      </c>
    </row>
    <row r="15" customFormat="false" ht="15" hidden="false" customHeight="true" outlineLevel="0" collapsed="false">
      <c r="A15" s="43" t="s">
        <v>178</v>
      </c>
      <c r="B15" s="7" t="n">
        <v>0</v>
      </c>
      <c r="C15" s="46" t="n">
        <f aca="false">B15*6</f>
        <v>0</v>
      </c>
      <c r="D15" s="45" t="s">
        <v>179</v>
      </c>
      <c r="E15" s="47" t="n">
        <v>300</v>
      </c>
      <c r="F15" s="48" t="n">
        <f aca="false">E15*6</f>
        <v>1800</v>
      </c>
      <c r="G15" s="49" t="n">
        <v>0.05</v>
      </c>
      <c r="H15" s="48" t="n">
        <f aca="false">F15*G15</f>
        <v>90</v>
      </c>
      <c r="I15" s="46" t="n">
        <f aca="false">H15*249*3.5</f>
        <v>78435</v>
      </c>
    </row>
    <row r="16" customFormat="false" ht="15" hidden="false" customHeight="true" outlineLevel="0" collapsed="false">
      <c r="A16" s="43" t="s">
        <v>180</v>
      </c>
      <c r="B16" s="7" t="n">
        <v>30000</v>
      </c>
      <c r="C16" s="46" t="n">
        <f aca="false">B16*6</f>
        <v>180000</v>
      </c>
      <c r="D16" s="45" t="s">
        <v>173</v>
      </c>
      <c r="E16" s="47" t="n">
        <v>300</v>
      </c>
      <c r="F16" s="48" t="n">
        <f aca="false">E16*6</f>
        <v>1800</v>
      </c>
      <c r="G16" s="49" t="n">
        <v>0.05</v>
      </c>
      <c r="H16" s="48" t="n">
        <f aca="false">F16*G16</f>
        <v>90</v>
      </c>
      <c r="I16" s="46" t="n">
        <f aca="false">H16*249*3.5</f>
        <v>78435</v>
      </c>
    </row>
    <row r="17" customFormat="false" ht="15" hidden="false" customHeight="true" outlineLevel="0" collapsed="false">
      <c r="A17" s="50" t="s">
        <v>181</v>
      </c>
      <c r="B17" s="51" t="n">
        <f aca="false">SUM(B10:B16)</f>
        <v>200000</v>
      </c>
      <c r="C17" s="51" t="n">
        <f aca="false">SUM(C10:C16)</f>
        <v>1200000</v>
      </c>
      <c r="D17" s="50"/>
      <c r="E17" s="50"/>
      <c r="F17" s="52" t="n">
        <f aca="false">SUM(F10:F16)</f>
        <v>26400</v>
      </c>
      <c r="G17" s="50"/>
      <c r="H17" s="52" t="n">
        <f aca="false">SUM(H10:H16)</f>
        <v>1896</v>
      </c>
      <c r="I17" s="51" t="n">
        <f aca="false">SUM(I10:I16)</f>
        <v>1652364</v>
      </c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</row>
    <row r="19" customFormat="false" ht="15" hidden="false" customHeight="true" outlineLevel="0" collapsed="false">
      <c r="A19" s="2" t="s">
        <v>182</v>
      </c>
      <c r="B19" s="2" t="s">
        <v>183</v>
      </c>
      <c r="C19" s="2" t="s">
        <v>184</v>
      </c>
      <c r="D19" s="2"/>
      <c r="E19" s="2"/>
      <c r="F19" s="2"/>
      <c r="G19" s="2"/>
      <c r="H19" s="2"/>
      <c r="I19" s="2"/>
    </row>
    <row r="20" customFormat="false" ht="15" hidden="false" customHeight="true" outlineLevel="0" collapsed="false">
      <c r="A20" s="32" t="s">
        <v>185</v>
      </c>
      <c r="B20" s="46" t="n">
        <f aca="false">I17</f>
        <v>1652364</v>
      </c>
      <c r="C20" s="53" t="n">
        <f aca="false">IF(B20=0,0,B20/B20)</f>
        <v>1</v>
      </c>
      <c r="D20" s="42"/>
      <c r="E20" s="42"/>
      <c r="F20" s="42"/>
      <c r="G20" s="42"/>
      <c r="H20" s="42"/>
      <c r="I20" s="42"/>
    </row>
    <row r="21" customFormat="false" ht="15" hidden="false" customHeight="true" outlineLevel="0" collapsed="false">
      <c r="A21" s="32" t="s">
        <v>186</v>
      </c>
      <c r="B21" s="46" t="n">
        <f aca="false">H17*12*4.8</f>
        <v>109209.6</v>
      </c>
      <c r="C21" s="53" t="n">
        <f aca="false">IF(B20=0,0,B21/B20)</f>
        <v>0.0660929432013769</v>
      </c>
      <c r="D21" s="42"/>
      <c r="E21" s="42"/>
      <c r="F21" s="42"/>
      <c r="G21" s="42"/>
      <c r="H21" s="42"/>
      <c r="I21" s="42"/>
    </row>
    <row r="22" customFormat="false" ht="15" hidden="false" customHeight="true" outlineLevel="0" collapsed="false">
      <c r="A22" s="37" t="s">
        <v>187</v>
      </c>
      <c r="B22" s="54" t="n">
        <f aca="false">B20-B21</f>
        <v>1543154.4</v>
      </c>
      <c r="C22" s="53" t="n">
        <f aca="false">IF(B20=0,0,B22/B20)</f>
        <v>0.933907056798623</v>
      </c>
      <c r="D22" s="42"/>
      <c r="E22" s="42"/>
      <c r="F22" s="42"/>
      <c r="G22" s="42"/>
      <c r="H22" s="42"/>
      <c r="I22" s="42"/>
    </row>
    <row r="23" customFormat="false" ht="15" hidden="false" customHeight="true" outlineLevel="0" collapsed="false">
      <c r="A23" s="32" t="s">
        <v>188</v>
      </c>
      <c r="B23" s="53" t="n">
        <f aca="false">B22/B20</f>
        <v>0.933907056798623</v>
      </c>
      <c r="C23" s="42"/>
      <c r="D23" s="42"/>
      <c r="E23" s="42"/>
      <c r="F23" s="42"/>
      <c r="G23" s="42"/>
      <c r="H23" s="42"/>
      <c r="I23" s="42"/>
    </row>
    <row r="24" customFormat="false" ht="1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</row>
    <row r="25" customFormat="false" ht="15" hidden="false" customHeight="true" outlineLevel="0" collapsed="false">
      <c r="A25" s="32" t="s">
        <v>189</v>
      </c>
      <c r="B25" s="46" t="n">
        <f aca="false">C17</f>
        <v>1200000</v>
      </c>
      <c r="C25" s="53" t="n">
        <f aca="false">IF(B20=0,0,B25/B20)</f>
        <v>0.726232234543963</v>
      </c>
      <c r="D25" s="42"/>
      <c r="E25" s="42"/>
      <c r="F25" s="42"/>
      <c r="G25" s="42"/>
      <c r="H25" s="42"/>
      <c r="I25" s="42"/>
    </row>
    <row r="26" customFormat="false" ht="15" hidden="false" customHeight="true" outlineLevel="0" collapsed="false">
      <c r="A26" s="32" t="s">
        <v>190</v>
      </c>
      <c r="B26" s="46" t="n">
        <f aca="false">I14*0.15</f>
        <v>39217.5</v>
      </c>
      <c r="C26" s="53" t="n">
        <f aca="false">IF(B20=0,0,B26/B20)</f>
        <v>0.0237341772151899</v>
      </c>
      <c r="D26" s="42"/>
      <c r="E26" s="42"/>
      <c r="F26" s="42"/>
      <c r="G26" s="42"/>
      <c r="H26" s="42"/>
      <c r="I26" s="42"/>
    </row>
    <row r="27" customFormat="false" ht="15" hidden="false" customHeight="true" outlineLevel="0" collapsed="false">
      <c r="A27" s="32" t="s">
        <v>191</v>
      </c>
      <c r="B27" s="46" t="n">
        <f aca="false">I10*0.2</f>
        <v>83664</v>
      </c>
      <c r="C27" s="53" t="n">
        <f aca="false">IF(B20=0,0,B27/B20)</f>
        <v>0.0506329113924051</v>
      </c>
      <c r="D27" s="42"/>
      <c r="E27" s="42"/>
      <c r="F27" s="42"/>
      <c r="G27" s="42"/>
      <c r="H27" s="42"/>
      <c r="I27" s="42"/>
    </row>
    <row r="28" customFormat="false" ht="15" hidden="false" customHeight="true" outlineLevel="0" collapsed="false">
      <c r="A28" s="55" t="s">
        <v>192</v>
      </c>
      <c r="B28" s="56" t="n">
        <f aca="false">B25+B26+B27</f>
        <v>1322881.5</v>
      </c>
      <c r="C28" s="53" t="n">
        <f aca="false">IF(B20=0,0,B28/B20)</f>
        <v>0.800599323151557</v>
      </c>
      <c r="D28" s="42"/>
      <c r="E28" s="42"/>
      <c r="F28" s="42"/>
      <c r="G28" s="42"/>
      <c r="H28" s="42"/>
      <c r="I28" s="42"/>
    </row>
    <row r="29" customFormat="false" ht="1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</row>
    <row r="30" customFormat="false" ht="15" hidden="false" customHeight="true" outlineLevel="0" collapsed="false">
      <c r="A30" s="37" t="s">
        <v>193</v>
      </c>
      <c r="B30" s="54" t="n">
        <f aca="false">B22-B28</f>
        <v>220272.9</v>
      </c>
      <c r="C30" s="53" t="n">
        <f aca="false">IF(B20=0,0,B30/B20)</f>
        <v>0.133307733647066</v>
      </c>
      <c r="D30" s="42"/>
      <c r="E30" s="42"/>
      <c r="F30" s="42"/>
      <c r="G30" s="42"/>
      <c r="H30" s="42"/>
      <c r="I30" s="42"/>
    </row>
    <row r="31" customFormat="false" ht="15" hidden="false" customHeight="true" outlineLevel="0" collapsed="false">
      <c r="A31" s="32" t="s">
        <v>194</v>
      </c>
      <c r="B31" s="53" t="n">
        <f aca="false">B30/B20</f>
        <v>0.133307733647066</v>
      </c>
      <c r="C31" s="42"/>
      <c r="D31" s="42"/>
      <c r="E31" s="42"/>
      <c r="F31" s="42"/>
      <c r="G31" s="42"/>
      <c r="H31" s="42"/>
      <c r="I31" s="42"/>
    </row>
    <row r="32" customFormat="false" ht="1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</row>
    <row r="33" customFormat="false" ht="15" hidden="false" customHeight="true" outlineLevel="0" collapsed="false">
      <c r="A33" s="32" t="s">
        <v>195</v>
      </c>
      <c r="B33" s="46" t="n">
        <f aca="false">B28/H17</f>
        <v>697.722310126582</v>
      </c>
      <c r="C33" s="53" t="n">
        <f aca="false">IF(B20=0,0,B33/B20)</f>
        <v>0.00042225702697867</v>
      </c>
      <c r="D33" s="42"/>
      <c r="E33" s="42"/>
      <c r="F33" s="42"/>
      <c r="G33" s="42"/>
      <c r="H33" s="42"/>
      <c r="I33" s="42"/>
    </row>
    <row r="34" customFormat="false" ht="15" hidden="false" customHeight="true" outlineLevel="0" collapsed="false">
      <c r="A34" s="32" t="s">
        <v>196</v>
      </c>
      <c r="B34" s="46" t="n">
        <f aca="false">B20/H17</f>
        <v>871.5</v>
      </c>
      <c r="C34" s="53" t="n">
        <f aca="false">IF(B20=0,0,B34/B20)</f>
        <v>0.000527426160337553</v>
      </c>
      <c r="D34" s="42"/>
      <c r="E34" s="42"/>
      <c r="F34" s="42"/>
      <c r="G34" s="42"/>
      <c r="H34" s="42"/>
      <c r="I34" s="42"/>
    </row>
    <row r="35" customFormat="false" ht="15" hidden="false" customHeight="true" outlineLevel="0" collapsed="false">
      <c r="A35" s="32" t="s">
        <v>197</v>
      </c>
      <c r="B35" s="57" t="n">
        <f aca="false">B34/B33</f>
        <v>1.24906425859006</v>
      </c>
      <c r="C35" s="42"/>
      <c r="D35" s="42"/>
      <c r="E35" s="42"/>
      <c r="F35" s="42"/>
      <c r="G35" s="42"/>
      <c r="H35" s="42"/>
      <c r="I35" s="42"/>
    </row>
    <row r="36" customFormat="false" ht="15" hidden="false" customHeight="true" outlineLevel="0" collapsed="false">
      <c r="A36" s="32" t="s">
        <v>198</v>
      </c>
      <c r="B36" s="58" t="n">
        <f aca="false">B33/(B34/6)</f>
        <v>4.80359593890934</v>
      </c>
      <c r="C36" s="42"/>
      <c r="D36" s="42"/>
      <c r="E36" s="42"/>
      <c r="F36" s="42"/>
      <c r="G36" s="42"/>
      <c r="H36" s="42"/>
      <c r="I36" s="42"/>
    </row>
    <row r="37" customFormat="false" ht="1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</row>
    <row r="38" customFormat="false" ht="1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</row>
    <row r="39" customFormat="false" ht="1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</row>
    <row r="40" customFormat="false" ht="1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</row>
    <row r="41" customFormat="false" ht="1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</row>
    <row r="42" customFormat="false" ht="1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</row>
    <row r="43" customFormat="false" ht="1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</row>
    <row r="44" customFormat="false" ht="1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</row>
    <row r="45" customFormat="false" ht="1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</row>
    <row r="46" customFormat="false" ht="1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</row>
    <row r="47" customFormat="false" ht="1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</row>
    <row r="48" customFormat="false" ht="1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</row>
    <row r="49" customFormat="false" ht="1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7" min="4" style="1" width="12"/>
    <col collapsed="false" customWidth="true" hidden="false" outlineLevel="0" max="8" min="8" style="1" width="14"/>
    <col collapsed="false" customWidth="true" hidden="false" outlineLevel="0" max="9" min="9" style="1" width="16"/>
  </cols>
  <sheetData>
    <row r="1" customFormat="false" ht="17.25" hidden="false" customHeight="true" outlineLevel="0" collapsed="false">
      <c r="A1" s="59" t="s">
        <v>199</v>
      </c>
      <c r="B1" s="59"/>
      <c r="C1" s="59"/>
      <c r="D1" s="59"/>
      <c r="E1" s="59"/>
      <c r="F1" s="59"/>
      <c r="G1" s="59"/>
      <c r="H1" s="59"/>
      <c r="I1" s="59"/>
    </row>
    <row r="2" customFormat="false" ht="15" hidden="false" customHeight="true" outlineLevel="0" collapsed="false">
      <c r="A2" s="42"/>
      <c r="B2" s="42"/>
      <c r="C2" s="42"/>
      <c r="D2" s="42"/>
      <c r="E2" s="42"/>
      <c r="F2" s="42"/>
      <c r="G2" s="42"/>
      <c r="H2" s="42"/>
      <c r="I2" s="42"/>
    </row>
    <row r="3" customFormat="false" ht="26.25" hidden="false" customHeight="true" outlineLevel="0" collapsed="false">
      <c r="A3" s="2" t="s">
        <v>200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2" t="s">
        <v>161</v>
      </c>
      <c r="B4" s="2" t="s">
        <v>162</v>
      </c>
      <c r="C4" s="2" t="s">
        <v>163</v>
      </c>
      <c r="D4" s="2" t="s">
        <v>164</v>
      </c>
      <c r="E4" s="2" t="s">
        <v>165</v>
      </c>
      <c r="F4" s="2" t="s">
        <v>166</v>
      </c>
      <c r="G4" s="2" t="s">
        <v>167</v>
      </c>
      <c r="H4" s="2" t="s">
        <v>168</v>
      </c>
      <c r="I4" s="2" t="s">
        <v>169</v>
      </c>
    </row>
    <row r="5" customFormat="false" ht="15" hidden="false" customHeight="true" outlineLevel="0" collapsed="false">
      <c r="A5" s="43" t="s">
        <v>170</v>
      </c>
      <c r="B5" s="7" t="n">
        <v>0</v>
      </c>
      <c r="C5" s="46" t="n">
        <f aca="false">B5*6</f>
        <v>0</v>
      </c>
      <c r="D5" s="45" t="s">
        <v>171</v>
      </c>
      <c r="E5" s="47" t="n">
        <v>800</v>
      </c>
      <c r="F5" s="48" t="n">
        <f aca="false">E5*6</f>
        <v>4800</v>
      </c>
      <c r="G5" s="49" t="n">
        <v>0.1</v>
      </c>
      <c r="H5" s="48" t="n">
        <f aca="false">F5*G5</f>
        <v>480</v>
      </c>
      <c r="I5" s="46" t="n">
        <f aca="false">H5*249*3.5</f>
        <v>418320</v>
      </c>
    </row>
    <row r="6" customFormat="false" ht="15" hidden="false" customHeight="true" outlineLevel="0" collapsed="false">
      <c r="A6" s="43" t="s">
        <v>172</v>
      </c>
      <c r="B6" s="7" t="n">
        <v>60000</v>
      </c>
      <c r="C6" s="46" t="n">
        <f aca="false">B6*6</f>
        <v>360000</v>
      </c>
      <c r="D6" s="45" t="s">
        <v>173</v>
      </c>
      <c r="E6" s="47" t="n">
        <v>700</v>
      </c>
      <c r="F6" s="48" t="n">
        <f aca="false">E6*6</f>
        <v>4200</v>
      </c>
      <c r="G6" s="49" t="n">
        <v>0.06</v>
      </c>
      <c r="H6" s="48" t="n">
        <f aca="false">F6*G6</f>
        <v>252</v>
      </c>
      <c r="I6" s="46" t="n">
        <f aca="false">H6*249*3.5</f>
        <v>219618</v>
      </c>
    </row>
    <row r="7" customFormat="false" ht="15" hidden="false" customHeight="true" outlineLevel="0" collapsed="false">
      <c r="A7" s="43" t="s">
        <v>174</v>
      </c>
      <c r="B7" s="7" t="n">
        <v>100000</v>
      </c>
      <c r="C7" s="46" t="n">
        <f aca="false">B7*6</f>
        <v>600000</v>
      </c>
      <c r="D7" s="45" t="s">
        <v>173</v>
      </c>
      <c r="E7" s="47" t="n">
        <v>1200</v>
      </c>
      <c r="F7" s="48" t="n">
        <f aca="false">E7*6</f>
        <v>7200</v>
      </c>
      <c r="G7" s="49" t="n">
        <v>0.06</v>
      </c>
      <c r="H7" s="48" t="n">
        <f aca="false">F7*G7</f>
        <v>432</v>
      </c>
      <c r="I7" s="46" t="n">
        <f aca="false">H7*249*3.5</f>
        <v>376488</v>
      </c>
    </row>
    <row r="8" customFormat="false" ht="15" hidden="false" customHeight="true" outlineLevel="0" collapsed="false">
      <c r="A8" s="43" t="s">
        <v>175</v>
      </c>
      <c r="B8" s="7" t="n">
        <v>10000</v>
      </c>
      <c r="C8" s="46" t="n">
        <f aca="false">B8*6</f>
        <v>60000</v>
      </c>
      <c r="D8" s="45" t="s">
        <v>173</v>
      </c>
      <c r="E8" s="47" t="n">
        <v>600</v>
      </c>
      <c r="F8" s="48" t="n">
        <f aca="false">E8*6</f>
        <v>3600</v>
      </c>
      <c r="G8" s="49" t="n">
        <v>0.07</v>
      </c>
      <c r="H8" s="48" t="n">
        <f aca="false">F8*G8</f>
        <v>252</v>
      </c>
      <c r="I8" s="46" t="n">
        <f aca="false">H8*249*3.5</f>
        <v>219618</v>
      </c>
    </row>
    <row r="9" customFormat="false" ht="15" hidden="false" customHeight="true" outlineLevel="0" collapsed="false">
      <c r="A9" s="43" t="s">
        <v>176</v>
      </c>
      <c r="B9" s="7" t="n">
        <v>0</v>
      </c>
      <c r="C9" s="46" t="n">
        <f aca="false">B9*6</f>
        <v>0</v>
      </c>
      <c r="D9" s="45" t="s">
        <v>177</v>
      </c>
      <c r="E9" s="47" t="n">
        <v>500</v>
      </c>
      <c r="F9" s="48" t="n">
        <f aca="false">E9*6</f>
        <v>3000</v>
      </c>
      <c r="G9" s="49" t="n">
        <v>0.1</v>
      </c>
      <c r="H9" s="48" t="n">
        <f aca="false">F9*G9</f>
        <v>300</v>
      </c>
      <c r="I9" s="46" t="n">
        <f aca="false">H9*249*3.5</f>
        <v>261450</v>
      </c>
    </row>
    <row r="10" customFormat="false" ht="15" hidden="false" customHeight="true" outlineLevel="0" collapsed="false">
      <c r="A10" s="43" t="s">
        <v>178</v>
      </c>
      <c r="B10" s="7" t="n">
        <v>0</v>
      </c>
      <c r="C10" s="46" t="n">
        <f aca="false">B10*6</f>
        <v>0</v>
      </c>
      <c r="D10" s="45" t="s">
        <v>179</v>
      </c>
      <c r="E10" s="47" t="n">
        <v>300</v>
      </c>
      <c r="F10" s="48" t="n">
        <f aca="false">E10*6</f>
        <v>1800</v>
      </c>
      <c r="G10" s="49" t="n">
        <v>0.05</v>
      </c>
      <c r="H10" s="48" t="n">
        <f aca="false">F10*G10</f>
        <v>90</v>
      </c>
      <c r="I10" s="46" t="n">
        <f aca="false">H10*249*3.5</f>
        <v>78435</v>
      </c>
    </row>
    <row r="11" customFormat="false" ht="15" hidden="false" customHeight="true" outlineLevel="0" collapsed="false">
      <c r="A11" s="43" t="s">
        <v>180</v>
      </c>
      <c r="B11" s="7" t="n">
        <v>30000</v>
      </c>
      <c r="C11" s="46" t="n">
        <f aca="false">B11*6</f>
        <v>180000</v>
      </c>
      <c r="D11" s="45" t="s">
        <v>173</v>
      </c>
      <c r="E11" s="47" t="n">
        <v>300</v>
      </c>
      <c r="F11" s="48" t="n">
        <f aca="false">E11*6</f>
        <v>1800</v>
      </c>
      <c r="G11" s="49" t="n">
        <v>0.05</v>
      </c>
      <c r="H11" s="48" t="n">
        <f aca="false">F11*G11</f>
        <v>90</v>
      </c>
      <c r="I11" s="46" t="n">
        <f aca="false">H11*249*3.5</f>
        <v>78435</v>
      </c>
    </row>
    <row r="12" customFormat="false" ht="26.25" hidden="false" customHeight="true" outlineLevel="0" collapsed="false">
      <c r="A12" s="50" t="s">
        <v>201</v>
      </c>
      <c r="B12" s="50"/>
      <c r="C12" s="51" t="n">
        <f aca="false">SUM(C5:C11)</f>
        <v>1200000</v>
      </c>
      <c r="D12" s="50"/>
      <c r="E12" s="50"/>
      <c r="F12" s="52" t="n">
        <f aca="false">SUM(F5:F11)</f>
        <v>26400</v>
      </c>
      <c r="G12" s="50"/>
      <c r="H12" s="52" t="n">
        <f aca="false">SUM(H5:H11)</f>
        <v>1896</v>
      </c>
      <c r="I12" s="51" t="n">
        <f aca="false">SUM(I5:I11)</f>
        <v>1652364</v>
      </c>
    </row>
    <row r="13" customFormat="false" ht="1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</row>
    <row r="14" customFormat="false" ht="15" hidden="false" customHeight="true" outlineLevel="0" collapsed="false">
      <c r="A14" s="2" t="s">
        <v>202</v>
      </c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true" outlineLevel="0" collapsed="false">
      <c r="A15" s="2" t="s">
        <v>161</v>
      </c>
      <c r="B15" s="2" t="s">
        <v>162</v>
      </c>
      <c r="C15" s="2" t="s">
        <v>163</v>
      </c>
      <c r="D15" s="2" t="s">
        <v>164</v>
      </c>
      <c r="E15" s="2" t="s">
        <v>165</v>
      </c>
      <c r="F15" s="2" t="s">
        <v>166</v>
      </c>
      <c r="G15" s="2" t="s">
        <v>167</v>
      </c>
      <c r="H15" s="2" t="s">
        <v>168</v>
      </c>
      <c r="I15" s="2" t="s">
        <v>169</v>
      </c>
    </row>
    <row r="16" customFormat="false" ht="15" hidden="false" customHeight="true" outlineLevel="0" collapsed="false">
      <c r="A16" s="43" t="s">
        <v>203</v>
      </c>
      <c r="B16" s="7" t="n">
        <v>50000</v>
      </c>
      <c r="C16" s="46" t="n">
        <f aca="false">B16*6</f>
        <v>300000</v>
      </c>
      <c r="D16" s="45" t="s">
        <v>204</v>
      </c>
      <c r="E16" s="47" t="n">
        <v>2500</v>
      </c>
      <c r="F16" s="48" t="n">
        <f aca="false">E16*6</f>
        <v>15000</v>
      </c>
      <c r="G16" s="49" t="n">
        <v>0.1</v>
      </c>
      <c r="H16" s="48" t="n">
        <f aca="false">F16*G16</f>
        <v>1500</v>
      </c>
      <c r="I16" s="46" t="n">
        <f aca="false">H16*249*3.5</f>
        <v>1307250</v>
      </c>
    </row>
    <row r="17" customFormat="false" ht="15" hidden="false" customHeight="true" outlineLevel="0" collapsed="false">
      <c r="A17" s="43" t="s">
        <v>205</v>
      </c>
      <c r="B17" s="7" t="n">
        <v>100000</v>
      </c>
      <c r="C17" s="46" t="n">
        <f aca="false">B17*6</f>
        <v>600000</v>
      </c>
      <c r="D17" s="45" t="s">
        <v>173</v>
      </c>
      <c r="E17" s="47" t="n">
        <v>1800</v>
      </c>
      <c r="F17" s="48" t="n">
        <f aca="false">E17*6</f>
        <v>10800</v>
      </c>
      <c r="G17" s="49" t="n">
        <v>0.06</v>
      </c>
      <c r="H17" s="48" t="n">
        <f aca="false">F17*G17</f>
        <v>648</v>
      </c>
      <c r="I17" s="46" t="n">
        <f aca="false">H17*249*3.5</f>
        <v>564732</v>
      </c>
    </row>
    <row r="18" customFormat="false" ht="15" hidden="false" customHeight="true" outlineLevel="0" collapsed="false">
      <c r="A18" s="43" t="s">
        <v>206</v>
      </c>
      <c r="B18" s="7" t="n">
        <v>150000</v>
      </c>
      <c r="C18" s="46" t="n">
        <f aca="false">B18*6</f>
        <v>900000</v>
      </c>
      <c r="D18" s="45" t="s">
        <v>173</v>
      </c>
      <c r="E18" s="47" t="n">
        <v>2500</v>
      </c>
      <c r="F18" s="48" t="n">
        <f aca="false">E18*6</f>
        <v>15000</v>
      </c>
      <c r="G18" s="49" t="n">
        <v>0.07</v>
      </c>
      <c r="H18" s="48" t="n">
        <f aca="false">F18*G18</f>
        <v>1050</v>
      </c>
      <c r="I18" s="46" t="n">
        <f aca="false">H18*249*3.5</f>
        <v>915075</v>
      </c>
    </row>
    <row r="19" customFormat="false" ht="15" hidden="false" customHeight="true" outlineLevel="0" collapsed="false">
      <c r="A19" s="43" t="s">
        <v>207</v>
      </c>
      <c r="B19" s="7" t="n">
        <v>30000</v>
      </c>
      <c r="C19" s="46" t="n">
        <f aca="false">B19*6</f>
        <v>180000</v>
      </c>
      <c r="D19" s="45" t="s">
        <v>173</v>
      </c>
      <c r="E19" s="47" t="n">
        <v>1500</v>
      </c>
      <c r="F19" s="48" t="n">
        <f aca="false">E19*6</f>
        <v>9000</v>
      </c>
      <c r="G19" s="49" t="n">
        <v>0.07</v>
      </c>
      <c r="H19" s="48" t="n">
        <f aca="false">F19*G19</f>
        <v>630</v>
      </c>
      <c r="I19" s="46" t="n">
        <f aca="false">H19*249*3.5</f>
        <v>549045</v>
      </c>
    </row>
    <row r="20" customFormat="false" ht="15" hidden="false" customHeight="true" outlineLevel="0" collapsed="false">
      <c r="A20" s="43" t="s">
        <v>208</v>
      </c>
      <c r="B20" s="7" t="n">
        <v>0</v>
      </c>
      <c r="C20" s="46" t="n">
        <f aca="false">B20*6</f>
        <v>0</v>
      </c>
      <c r="D20" s="45" t="s">
        <v>177</v>
      </c>
      <c r="E20" s="47" t="n">
        <v>1500</v>
      </c>
      <c r="F20" s="48" t="n">
        <f aca="false">E20*6</f>
        <v>9000</v>
      </c>
      <c r="G20" s="49" t="n">
        <v>0.1</v>
      </c>
      <c r="H20" s="48" t="n">
        <f aca="false">F20*G20</f>
        <v>900</v>
      </c>
      <c r="I20" s="46" t="n">
        <f aca="false">H20*249*3.5</f>
        <v>784350</v>
      </c>
    </row>
    <row r="21" customFormat="false" ht="15" hidden="false" customHeight="true" outlineLevel="0" collapsed="false">
      <c r="A21" s="43" t="s">
        <v>209</v>
      </c>
      <c r="B21" s="7" t="n">
        <v>0</v>
      </c>
      <c r="C21" s="46" t="n">
        <f aca="false">B21*6</f>
        <v>0</v>
      </c>
      <c r="D21" s="45" t="s">
        <v>179</v>
      </c>
      <c r="E21" s="47" t="n">
        <v>800</v>
      </c>
      <c r="F21" s="48" t="n">
        <f aca="false">E21*6</f>
        <v>4800</v>
      </c>
      <c r="G21" s="49" t="n">
        <v>0.06</v>
      </c>
      <c r="H21" s="48" t="n">
        <f aca="false">F21*G21</f>
        <v>288</v>
      </c>
      <c r="I21" s="46" t="n">
        <f aca="false">H21*249*3.5</f>
        <v>250992</v>
      </c>
    </row>
    <row r="22" customFormat="false" ht="15" hidden="false" customHeight="true" outlineLevel="0" collapsed="false">
      <c r="A22" s="43" t="s">
        <v>210</v>
      </c>
      <c r="B22" s="7" t="n">
        <v>70000</v>
      </c>
      <c r="C22" s="46" t="n">
        <f aca="false">B22*6</f>
        <v>420000</v>
      </c>
      <c r="D22" s="45" t="s">
        <v>173</v>
      </c>
      <c r="E22" s="47" t="n">
        <v>800</v>
      </c>
      <c r="F22" s="48" t="n">
        <f aca="false">E22*6</f>
        <v>4800</v>
      </c>
      <c r="G22" s="49" t="n">
        <v>0.06</v>
      </c>
      <c r="H22" s="48" t="n">
        <f aca="false">F22*G22</f>
        <v>288</v>
      </c>
      <c r="I22" s="46" t="n">
        <f aca="false">H22*249*3.5</f>
        <v>250992</v>
      </c>
    </row>
    <row r="23" customFormat="false" ht="15" hidden="false" customHeight="true" outlineLevel="0" collapsed="false">
      <c r="A23" s="50" t="s">
        <v>211</v>
      </c>
      <c r="B23" s="50"/>
      <c r="C23" s="51" t="n">
        <f aca="false">SUM(C16:C22)</f>
        <v>2400000</v>
      </c>
      <c r="D23" s="50"/>
      <c r="E23" s="50"/>
      <c r="F23" s="52" t="n">
        <f aca="false">SUM(F16:F22)</f>
        <v>68400</v>
      </c>
      <c r="G23" s="50"/>
      <c r="H23" s="52" t="n">
        <f aca="false">SUM(H16:H22)</f>
        <v>5304</v>
      </c>
      <c r="I23" s="51" t="n">
        <f aca="false">SUM(I16:I22)</f>
        <v>4622436</v>
      </c>
    </row>
    <row r="24" customFormat="false" ht="1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</row>
    <row r="25" customFormat="false" ht="15" hidden="false" customHeight="true" outlineLevel="0" collapsed="false">
      <c r="A25" s="60" t="s">
        <v>212</v>
      </c>
      <c r="B25" s="61"/>
      <c r="C25" s="62" t="n">
        <f aca="false">C12+C23</f>
        <v>3600000</v>
      </c>
      <c r="D25" s="61"/>
      <c r="E25" s="61"/>
      <c r="F25" s="63" t="n">
        <f aca="false">F12+F23</f>
        <v>94800</v>
      </c>
      <c r="G25" s="61"/>
      <c r="H25" s="63" t="n">
        <f aca="false">H12+H23</f>
        <v>7200</v>
      </c>
      <c r="I25" s="62" t="n">
        <f aca="false">I12+I23</f>
        <v>6274800</v>
      </c>
    </row>
    <row r="26" customFormat="false" ht="1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</row>
    <row r="27" customFormat="false" ht="15" hidden="false" customHeight="true" outlineLevel="0" collapsed="false">
      <c r="A27" s="2" t="s">
        <v>213</v>
      </c>
      <c r="B27" s="2" t="s">
        <v>183</v>
      </c>
      <c r="C27" s="2" t="s">
        <v>184</v>
      </c>
      <c r="D27" s="2"/>
      <c r="E27" s="2"/>
      <c r="F27" s="2"/>
      <c r="G27" s="2"/>
      <c r="H27" s="2"/>
      <c r="I27" s="2"/>
    </row>
    <row r="28" customFormat="false" ht="15" hidden="false" customHeight="true" outlineLevel="0" collapsed="false">
      <c r="A28" s="32" t="s">
        <v>214</v>
      </c>
      <c r="B28" s="46" t="n">
        <f aca="false">I25</f>
        <v>6274800</v>
      </c>
      <c r="C28" s="53" t="n">
        <f aca="false">IF(B28=0,0,B28/B28)</f>
        <v>1</v>
      </c>
      <c r="D28" s="42"/>
      <c r="E28" s="42"/>
      <c r="F28" s="42"/>
      <c r="G28" s="42"/>
      <c r="H28" s="42"/>
      <c r="I28" s="42"/>
    </row>
    <row r="29" customFormat="false" ht="15" hidden="false" customHeight="true" outlineLevel="0" collapsed="false">
      <c r="A29" s="32" t="s">
        <v>186</v>
      </c>
      <c r="B29" s="46" t="n">
        <f aca="false">H25*12*4.8</f>
        <v>414720</v>
      </c>
      <c r="C29" s="53" t="n">
        <f aca="false">IF(B28=0,0,B29/B28)</f>
        <v>0.0660929432013769</v>
      </c>
      <c r="D29" s="42"/>
      <c r="E29" s="42"/>
      <c r="F29" s="42"/>
      <c r="G29" s="42"/>
      <c r="H29" s="42"/>
      <c r="I29" s="42"/>
    </row>
    <row r="30" customFormat="false" ht="15" hidden="false" customHeight="true" outlineLevel="0" collapsed="false">
      <c r="A30" s="37" t="s">
        <v>187</v>
      </c>
      <c r="B30" s="54" t="n">
        <f aca="false">B28-B29</f>
        <v>5860080</v>
      </c>
      <c r="C30" s="53" t="n">
        <f aca="false">IF(B28=0,0,B30/B28)</f>
        <v>0.933907056798623</v>
      </c>
      <c r="D30" s="42"/>
      <c r="E30" s="42"/>
      <c r="F30" s="42"/>
      <c r="G30" s="42"/>
      <c r="H30" s="42"/>
      <c r="I30" s="42"/>
    </row>
    <row r="31" customFormat="false" ht="15" hidden="false" customHeight="true" outlineLevel="0" collapsed="false">
      <c r="A31" s="32" t="s">
        <v>188</v>
      </c>
      <c r="B31" s="53" t="n">
        <f aca="false">B30/B28</f>
        <v>0.933907056798623</v>
      </c>
      <c r="C31" s="42"/>
      <c r="D31" s="42"/>
      <c r="E31" s="42"/>
      <c r="F31" s="42"/>
      <c r="G31" s="42"/>
      <c r="H31" s="42"/>
      <c r="I31" s="42"/>
    </row>
    <row r="32" customFormat="false" ht="1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</row>
    <row r="33" customFormat="false" ht="15" hidden="false" customHeight="true" outlineLevel="0" collapsed="false">
      <c r="A33" s="32" t="s">
        <v>215</v>
      </c>
      <c r="B33" s="46" t="n">
        <f aca="false">C25</f>
        <v>3600000</v>
      </c>
      <c r="C33" s="53" t="n">
        <f aca="false">IF(B28=0,0,B33/B28)</f>
        <v>0.57372346528973</v>
      </c>
      <c r="D33" s="42"/>
      <c r="E33" s="42"/>
      <c r="F33" s="42"/>
      <c r="G33" s="42"/>
      <c r="H33" s="42"/>
      <c r="I33" s="42"/>
    </row>
    <row r="34" customFormat="false" ht="15" hidden="false" customHeight="true" outlineLevel="0" collapsed="false">
      <c r="A34" s="32" t="s">
        <v>216</v>
      </c>
      <c r="B34" s="46" t="n">
        <f aca="false">(I9+I20)*0.15</f>
        <v>156870</v>
      </c>
      <c r="C34" s="53" t="n">
        <f aca="false">IF(B28=0,0,B34/B28)</f>
        <v>0.025</v>
      </c>
      <c r="D34" s="42"/>
      <c r="E34" s="42"/>
      <c r="F34" s="42"/>
      <c r="G34" s="42"/>
      <c r="H34" s="42"/>
      <c r="I34" s="42"/>
    </row>
    <row r="35" customFormat="false" ht="15" hidden="false" customHeight="true" outlineLevel="0" collapsed="false">
      <c r="A35" s="32" t="s">
        <v>217</v>
      </c>
      <c r="B35" s="46" t="n">
        <f aca="false">(I5+I16)*0.2</f>
        <v>345114</v>
      </c>
      <c r="C35" s="53" t="n">
        <f aca="false">IF(B28=0,0,B35/B28)</f>
        <v>0.055</v>
      </c>
      <c r="D35" s="42"/>
      <c r="E35" s="42"/>
      <c r="F35" s="42"/>
      <c r="G35" s="42"/>
      <c r="H35" s="42"/>
      <c r="I35" s="42"/>
    </row>
    <row r="36" customFormat="false" ht="15" hidden="false" customHeight="true" outlineLevel="0" collapsed="false">
      <c r="A36" s="55" t="s">
        <v>192</v>
      </c>
      <c r="B36" s="56" t="n">
        <f aca="false">B33+B34+B35</f>
        <v>4101984</v>
      </c>
      <c r="C36" s="53" t="n">
        <f aca="false">IF(B28=0,0,B36/B28)</f>
        <v>0.65372346528973</v>
      </c>
      <c r="D36" s="42"/>
      <c r="E36" s="42"/>
      <c r="F36" s="42"/>
      <c r="G36" s="42"/>
      <c r="H36" s="42"/>
      <c r="I36" s="42"/>
    </row>
    <row r="37" customFormat="false" ht="1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</row>
    <row r="38" customFormat="false" ht="15" hidden="false" customHeight="true" outlineLevel="0" collapsed="false">
      <c r="A38" s="37" t="s">
        <v>193</v>
      </c>
      <c r="B38" s="54" t="n">
        <f aca="false">B30-B36</f>
        <v>1758096</v>
      </c>
      <c r="C38" s="53" t="n">
        <f aca="false">IF(B28=0,0,B38/B28)</f>
        <v>0.280183591508893</v>
      </c>
      <c r="D38" s="42"/>
      <c r="E38" s="42"/>
      <c r="F38" s="42"/>
      <c r="G38" s="42"/>
      <c r="H38" s="42"/>
      <c r="I38" s="42"/>
    </row>
    <row r="39" customFormat="false" ht="15" hidden="false" customHeight="true" outlineLevel="0" collapsed="false">
      <c r="A39" s="32" t="s">
        <v>194</v>
      </c>
      <c r="B39" s="53" t="n">
        <f aca="false">B38/B28</f>
        <v>0.280183591508893</v>
      </c>
      <c r="C39" s="42"/>
      <c r="D39" s="42"/>
      <c r="E39" s="42"/>
      <c r="F39" s="42"/>
      <c r="G39" s="42"/>
      <c r="H39" s="42"/>
      <c r="I39" s="42"/>
    </row>
    <row r="40" customFormat="false" ht="1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</row>
    <row r="41" customFormat="false" ht="15" hidden="false" customHeight="true" outlineLevel="0" collapsed="false">
      <c r="A41" s="32" t="s">
        <v>195</v>
      </c>
      <c r="B41" s="46" t="n">
        <f aca="false">B36/H25</f>
        <v>569.72</v>
      </c>
      <c r="C41" s="53" t="n">
        <f aca="false">IF(B28=0,0,B41/B28)</f>
        <v>9.07949257346848E-005</v>
      </c>
      <c r="D41" s="42"/>
      <c r="E41" s="42"/>
      <c r="F41" s="42"/>
      <c r="G41" s="42"/>
      <c r="H41" s="42"/>
      <c r="I41" s="42"/>
    </row>
    <row r="42" customFormat="false" ht="15" hidden="false" customHeight="true" outlineLevel="0" collapsed="false">
      <c r="A42" s="32" t="s">
        <v>196</v>
      </c>
      <c r="B42" s="46" t="n">
        <f aca="false">B28/H25</f>
        <v>871.5</v>
      </c>
      <c r="C42" s="53" t="n">
        <f aca="false">IF(B28=0,0,B42/B28)</f>
        <v>0.000138888888888889</v>
      </c>
      <c r="D42" s="42"/>
      <c r="E42" s="42"/>
      <c r="F42" s="42"/>
      <c r="G42" s="42"/>
      <c r="H42" s="42"/>
      <c r="I42" s="42"/>
    </row>
    <row r="43" customFormat="false" ht="15" hidden="false" customHeight="true" outlineLevel="0" collapsed="false">
      <c r="A43" s="32" t="s">
        <v>197</v>
      </c>
      <c r="B43" s="57" t="n">
        <f aca="false">B42/B41</f>
        <v>1.52969879941024</v>
      </c>
      <c r="C43" s="42"/>
      <c r="D43" s="42"/>
      <c r="E43" s="42"/>
      <c r="F43" s="42"/>
      <c r="G43" s="42"/>
      <c r="H43" s="42"/>
      <c r="I43" s="42"/>
    </row>
    <row r="44" customFormat="false" ht="15" hidden="false" customHeight="true" outlineLevel="0" collapsed="false">
      <c r="A44" s="32" t="s">
        <v>198</v>
      </c>
      <c r="B44" s="58" t="n">
        <f aca="false">B41/(B42/12)</f>
        <v>7.84468158347676</v>
      </c>
      <c r="C44" s="42"/>
      <c r="D44" s="42"/>
      <c r="E44" s="42"/>
      <c r="F44" s="42"/>
      <c r="G44" s="42"/>
      <c r="H44" s="42"/>
      <c r="I44" s="42"/>
    </row>
    <row r="45" customFormat="false" ht="1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</row>
    <row r="46" customFormat="false" ht="1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</row>
    <row r="47" customFormat="false" ht="1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</row>
    <row r="48" customFormat="false" ht="1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</row>
    <row r="49" customFormat="false" ht="1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</row>
    <row r="50" customFormat="false" ht="1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</row>
    <row r="51" customFormat="false" ht="1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</row>
    <row r="52" customFormat="false" ht="1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</row>
    <row r="53" customFormat="false" ht="1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</row>
    <row r="54" customFormat="false" ht="1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0"/>
    <col collapsed="false" customWidth="true" hidden="false" outlineLevel="0" max="4" min="4" style="1" width="36"/>
  </cols>
  <sheetData>
    <row r="1" customFormat="false" ht="15.75" hidden="false" customHeight="true" outlineLevel="0" collapsed="false">
      <c r="A1" s="64" t="s">
        <v>218</v>
      </c>
      <c r="B1" s="64"/>
      <c r="C1" s="64"/>
      <c r="D1" s="64"/>
      <c r="E1" s="28"/>
    </row>
    <row r="2" customFormat="false" ht="15" hidden="false" customHeight="false" outlineLevel="0" collapsed="false">
      <c r="A2" s="28"/>
      <c r="B2" s="28"/>
      <c r="C2" s="28"/>
      <c r="D2" s="28"/>
      <c r="E2" s="28"/>
    </row>
    <row r="3" customFormat="false" ht="26.25" hidden="false" customHeight="true" outlineLevel="0" collapsed="false">
      <c r="A3" s="2" t="s">
        <v>219</v>
      </c>
      <c r="B3" s="2" t="s">
        <v>220</v>
      </c>
      <c r="C3" s="2" t="s">
        <v>221</v>
      </c>
      <c r="D3" s="2" t="s">
        <v>107</v>
      </c>
      <c r="E3" s="28"/>
    </row>
    <row r="4" customFormat="false" ht="15" hidden="false" customHeight="true" outlineLevel="0" collapsed="false">
      <c r="A4" s="32" t="s">
        <v>222</v>
      </c>
      <c r="B4" s="65" t="s">
        <v>223</v>
      </c>
      <c r="C4" s="65" t="s">
        <v>224</v>
      </c>
      <c r="D4" s="34" t="s">
        <v>225</v>
      </c>
      <c r="E4" s="28"/>
    </row>
    <row r="5" customFormat="false" ht="15" hidden="false" customHeight="true" outlineLevel="0" collapsed="false">
      <c r="A5" s="32" t="s">
        <v>226</v>
      </c>
      <c r="B5" s="65" t="s">
        <v>227</v>
      </c>
      <c r="C5" s="65" t="s">
        <v>228</v>
      </c>
      <c r="D5" s="34" t="s">
        <v>229</v>
      </c>
      <c r="E5" s="28"/>
    </row>
    <row r="6" customFormat="false" ht="15" hidden="false" customHeight="true" outlineLevel="0" collapsed="false">
      <c r="A6" s="32" t="s">
        <v>230</v>
      </c>
      <c r="B6" s="30" t="n">
        <v>249</v>
      </c>
      <c r="C6" s="30" t="n">
        <v>249</v>
      </c>
      <c r="D6" s="34" t="s">
        <v>231</v>
      </c>
      <c r="E6" s="28"/>
    </row>
    <row r="7" customFormat="false" ht="15" hidden="false" customHeight="true" outlineLevel="0" collapsed="false">
      <c r="A7" s="32" t="s">
        <v>232</v>
      </c>
      <c r="B7" s="30" t="n">
        <v>3.5</v>
      </c>
      <c r="C7" s="30" t="n">
        <v>3.5</v>
      </c>
      <c r="D7" s="34"/>
      <c r="E7" s="28"/>
    </row>
    <row r="8" customFormat="false" ht="15" hidden="false" customHeight="true" outlineLevel="0" collapsed="false">
      <c r="A8" s="32" t="s">
        <v>233</v>
      </c>
      <c r="B8" s="31" t="n">
        <f aca="false">B6*B7</f>
        <v>871.5</v>
      </c>
      <c r="C8" s="31" t="n">
        <f aca="false">C6*C7</f>
        <v>871.5</v>
      </c>
      <c r="D8" s="34" t="s">
        <v>234</v>
      </c>
      <c r="E8" s="28"/>
    </row>
    <row r="9" customFormat="false" ht="15" hidden="false" customHeight="true" outlineLevel="0" collapsed="false">
      <c r="A9" s="32" t="s">
        <v>235</v>
      </c>
      <c r="B9" s="31" t="n">
        <f aca="false">B8*0.15</f>
        <v>130.725</v>
      </c>
      <c r="C9" s="31" t="n">
        <f aca="false">C8*0.2</f>
        <v>174.3</v>
      </c>
      <c r="D9" s="34" t="s">
        <v>236</v>
      </c>
      <c r="E9" s="28"/>
    </row>
    <row r="10" customFormat="false" ht="15" hidden="false" customHeight="true" outlineLevel="0" collapsed="false">
      <c r="A10" s="32" t="s">
        <v>237</v>
      </c>
      <c r="B10" s="65" t="s">
        <v>238</v>
      </c>
      <c r="C10" s="65" t="s">
        <v>238</v>
      </c>
      <c r="D10" s="34" t="s">
        <v>239</v>
      </c>
      <c r="E10" s="28"/>
    </row>
    <row r="11" customFormat="false" ht="15" hidden="false" customHeight="true" outlineLevel="0" collapsed="false">
      <c r="A11" s="32" t="s">
        <v>240</v>
      </c>
      <c r="B11" s="31" t="n">
        <f aca="false">B9</f>
        <v>130.725</v>
      </c>
      <c r="C11" s="31" t="n">
        <f aca="false">C9</f>
        <v>174.3</v>
      </c>
      <c r="D11" s="34" t="s">
        <v>241</v>
      </c>
      <c r="E11" s="28"/>
    </row>
    <row r="12" customFormat="false" ht="15" hidden="false" customHeight="true" outlineLevel="0" collapsed="false">
      <c r="A12" s="32" t="s">
        <v>242</v>
      </c>
      <c r="B12" s="49" t="n">
        <f aca="false">B8/B9-1</f>
        <v>5.66666666666667</v>
      </c>
      <c r="C12" s="49" t="n">
        <f aca="false">C8/C9-1</f>
        <v>4</v>
      </c>
      <c r="D12" s="34" t="s">
        <v>243</v>
      </c>
      <c r="E12" s="28"/>
    </row>
    <row r="13" customFormat="false" ht="15" hidden="false" customHeight="false" outlineLevel="0" collapsed="false">
      <c r="A13" s="28"/>
      <c r="B13" s="28"/>
      <c r="C13" s="28"/>
      <c r="D13" s="28"/>
      <c r="E13" s="28"/>
    </row>
    <row r="14" customFormat="false" ht="15" hidden="false" customHeight="true" outlineLevel="0" collapsed="false">
      <c r="A14" s="2" t="s">
        <v>244</v>
      </c>
      <c r="B14" s="2" t="s">
        <v>106</v>
      </c>
      <c r="C14" s="2"/>
      <c r="D14" s="2" t="s">
        <v>107</v>
      </c>
      <c r="E14" s="28"/>
    </row>
    <row r="15" customFormat="false" ht="15" hidden="false" customHeight="true" outlineLevel="0" collapsed="false">
      <c r="A15" s="32" t="s">
        <v>245</v>
      </c>
      <c r="B15" s="66" t="n">
        <v>25000</v>
      </c>
      <c r="C15" s="40"/>
      <c r="D15" s="34"/>
      <c r="E15" s="28"/>
    </row>
    <row r="16" customFormat="false" ht="15" hidden="false" customHeight="true" outlineLevel="0" collapsed="false">
      <c r="A16" s="32" t="s">
        <v>246</v>
      </c>
      <c r="B16" s="30" t="n">
        <f aca="false">B15*0.3</f>
        <v>7500</v>
      </c>
      <c r="C16" s="40"/>
      <c r="D16" s="34" t="s">
        <v>247</v>
      </c>
      <c r="E16" s="28"/>
    </row>
    <row r="17" customFormat="false" ht="15" hidden="false" customHeight="true" outlineLevel="0" collapsed="false">
      <c r="A17" s="32" t="s">
        <v>248</v>
      </c>
      <c r="B17" s="30" t="n">
        <f aca="false">B16*0.1</f>
        <v>750</v>
      </c>
      <c r="C17" s="40"/>
      <c r="D17" s="34" t="s">
        <v>249</v>
      </c>
      <c r="E17" s="28"/>
    </row>
    <row r="18" customFormat="false" ht="15" hidden="false" customHeight="true" outlineLevel="0" collapsed="false">
      <c r="A18" s="37" t="s">
        <v>250</v>
      </c>
      <c r="B18" s="67" t="n">
        <f aca="false">B17*249*3.5</f>
        <v>653625</v>
      </c>
      <c r="C18" s="40"/>
      <c r="D18" s="34"/>
      <c r="E18" s="28"/>
    </row>
    <row r="19" customFormat="false" ht="15" hidden="false" customHeight="true" outlineLevel="0" collapsed="false">
      <c r="A19" s="32" t="s">
        <v>251</v>
      </c>
      <c r="B19" s="30" t="n">
        <f aca="false">B18*0.175</f>
        <v>114384.375</v>
      </c>
      <c r="C19" s="40"/>
      <c r="D19" s="34" t="s">
        <v>252</v>
      </c>
      <c r="E19" s="28"/>
    </row>
    <row r="20" customFormat="false" ht="15" hidden="false" customHeight="true" outlineLevel="0" collapsed="false">
      <c r="A20" s="37" t="s">
        <v>253</v>
      </c>
      <c r="B20" s="67" t="n">
        <f aca="false">B18-B19</f>
        <v>539240.625</v>
      </c>
      <c r="C20" s="40"/>
      <c r="D20" s="34" t="s">
        <v>254</v>
      </c>
      <c r="E20" s="28"/>
    </row>
    <row r="21" customFormat="false" ht="15" hidden="false" customHeight="false" outlineLevel="0" collapsed="false">
      <c r="A21" s="28"/>
      <c r="B21" s="28"/>
      <c r="C21" s="28"/>
      <c r="D21" s="28"/>
      <c r="E21" s="28"/>
    </row>
    <row r="22" customFormat="false" ht="15" hidden="false" customHeight="false" outlineLevel="0" collapsed="false">
      <c r="A22" s="2" t="s">
        <v>255</v>
      </c>
      <c r="B22" s="2" t="s">
        <v>106</v>
      </c>
      <c r="C22" s="2"/>
      <c r="D22" s="2" t="s">
        <v>107</v>
      </c>
      <c r="E22" s="28"/>
    </row>
    <row r="23" customFormat="false" ht="15" hidden="false" customHeight="false" outlineLevel="0" collapsed="false">
      <c r="A23" s="32" t="s">
        <v>245</v>
      </c>
      <c r="B23" s="66" t="n">
        <v>100000</v>
      </c>
      <c r="C23" s="28"/>
      <c r="D23" s="34"/>
      <c r="E23" s="28"/>
    </row>
    <row r="24" customFormat="false" ht="15" hidden="false" customHeight="false" outlineLevel="0" collapsed="false">
      <c r="A24" s="32" t="s">
        <v>246</v>
      </c>
      <c r="B24" s="30" t="n">
        <f aca="false">B23*0.3</f>
        <v>30000</v>
      </c>
      <c r="C24" s="28"/>
      <c r="D24" s="34"/>
      <c r="E24" s="28"/>
    </row>
    <row r="25" customFormat="false" ht="15" hidden="false" customHeight="false" outlineLevel="0" collapsed="false">
      <c r="A25" s="32" t="s">
        <v>248</v>
      </c>
      <c r="B25" s="30" t="n">
        <f aca="false">B24*0.1</f>
        <v>3000</v>
      </c>
      <c r="C25" s="28"/>
      <c r="D25" s="34"/>
      <c r="E25" s="28"/>
    </row>
    <row r="26" customFormat="false" ht="15" hidden="false" customHeight="false" outlineLevel="0" collapsed="false">
      <c r="A26" s="37" t="s">
        <v>256</v>
      </c>
      <c r="B26" s="67" t="n">
        <f aca="false">B25*249*3.5*1.6</f>
        <v>4183200</v>
      </c>
      <c r="C26" s="28"/>
      <c r="D26" s="34" t="s">
        <v>257</v>
      </c>
      <c r="E26" s="28"/>
    </row>
    <row r="27" customFormat="false" ht="15" hidden="false" customHeight="false" outlineLevel="0" collapsed="false">
      <c r="A27" s="32" t="s">
        <v>258</v>
      </c>
      <c r="B27" s="30" t="n">
        <f aca="false">B26*0.175</f>
        <v>732060</v>
      </c>
      <c r="C27" s="28"/>
      <c r="D27" s="34"/>
      <c r="E27" s="28"/>
    </row>
    <row r="28" customFormat="false" ht="15" hidden="false" customHeight="false" outlineLevel="0" collapsed="false">
      <c r="A28" s="37" t="s">
        <v>253</v>
      </c>
      <c r="B28" s="67" t="n">
        <f aca="false">B26-B27</f>
        <v>3451140</v>
      </c>
      <c r="C28" s="28"/>
      <c r="D28" s="34"/>
      <c r="E28" s="28"/>
    </row>
    <row r="29" customFormat="false" ht="15" hidden="false" customHeight="false" outlineLevel="0" collapsed="false">
      <c r="A29" s="28"/>
      <c r="B29" s="28"/>
      <c r="C29" s="28"/>
      <c r="D29" s="28"/>
      <c r="E29" s="2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25"/>
  </cols>
  <sheetData>
    <row r="1" customFormat="false" ht="17.25" hidden="false" customHeight="true" outlineLevel="0" collapsed="false">
      <c r="A1" s="68" t="s">
        <v>259</v>
      </c>
    </row>
    <row r="2" customFormat="false" ht="15" hidden="false" customHeight="true" outlineLevel="0" collapsed="false">
      <c r="A2" s="17"/>
    </row>
    <row r="3" customFormat="false" ht="15" hidden="false" customHeight="true" outlineLevel="0" collapsed="false">
      <c r="A3" s="69" t="s">
        <v>260</v>
      </c>
    </row>
    <row r="4" customFormat="false" ht="15" hidden="false" customHeight="true" outlineLevel="0" collapsed="false">
      <c r="A4" s="17" t="s">
        <v>261</v>
      </c>
    </row>
    <row r="5" customFormat="false" ht="15" hidden="false" customHeight="true" outlineLevel="0" collapsed="false">
      <c r="A5" s="17" t="s">
        <v>262</v>
      </c>
    </row>
    <row r="6" customFormat="false" ht="15" hidden="false" customHeight="true" outlineLevel="0" collapsed="false">
      <c r="A6" s="17"/>
    </row>
    <row r="7" customFormat="false" ht="15" hidden="false" customHeight="true" outlineLevel="0" collapsed="false">
      <c r="A7" s="69" t="s">
        <v>263</v>
      </c>
    </row>
    <row r="8" customFormat="false" ht="15" hidden="false" customHeight="true" outlineLevel="0" collapsed="false">
      <c r="A8" s="70" t="s">
        <v>264</v>
      </c>
      <c r="B8" s="71" t="s">
        <v>265</v>
      </c>
    </row>
    <row r="9" customFormat="false" ht="15" hidden="false" customHeight="true" outlineLevel="0" collapsed="false">
      <c r="A9" s="70" t="s">
        <v>266</v>
      </c>
      <c r="B9" s="71" t="s">
        <v>267</v>
      </c>
    </row>
    <row r="10" customFormat="false" ht="15" hidden="false" customHeight="true" outlineLevel="0" collapsed="false">
      <c r="A10" s="17" t="s">
        <v>268</v>
      </c>
    </row>
    <row r="11" customFormat="false" ht="15" hidden="false" customHeight="true" outlineLevel="0" collapsed="false">
      <c r="A11" s="17"/>
    </row>
    <row r="12" customFormat="false" ht="15" hidden="false" customHeight="true" outlineLevel="0" collapsed="false">
      <c r="A12" s="69" t="s">
        <v>269</v>
      </c>
    </row>
    <row r="13" customFormat="false" ht="15" hidden="false" customHeight="true" outlineLevel="0" collapsed="false">
      <c r="A13" s="72" t="s">
        <v>270</v>
      </c>
      <c r="B13" s="70" t="s">
        <v>271</v>
      </c>
    </row>
    <row r="14" customFormat="false" ht="15" hidden="false" customHeight="true" outlineLevel="0" collapsed="false">
      <c r="A14" s="17" t="s">
        <v>272</v>
      </c>
    </row>
    <row r="15" customFormat="false" ht="15" hidden="false" customHeight="true" outlineLevel="0" collapsed="false">
      <c r="A15" s="17" t="s">
        <v>273</v>
      </c>
    </row>
    <row r="16" customFormat="false" ht="15" hidden="false" customHeight="true" outlineLevel="0" collapsed="false">
      <c r="A16" s="17" t="s">
        <v>274</v>
      </c>
    </row>
    <row r="17" customFormat="false" ht="15" hidden="false" customHeight="true" outlineLevel="0" collapsed="false">
      <c r="A17" s="17"/>
    </row>
    <row r="18" customFormat="false" ht="15" hidden="false" customHeight="true" outlineLevel="0" collapsed="false">
      <c r="A18" s="72" t="s">
        <v>275</v>
      </c>
      <c r="B18" s="70" t="s">
        <v>276</v>
      </c>
    </row>
    <row r="19" customFormat="false" ht="15" hidden="false" customHeight="true" outlineLevel="0" collapsed="false">
      <c r="A19" s="17" t="s">
        <v>277</v>
      </c>
    </row>
    <row r="20" customFormat="false" ht="15" hidden="false" customHeight="true" outlineLevel="0" collapsed="false">
      <c r="A20" s="17" t="s">
        <v>278</v>
      </c>
    </row>
    <row r="21" customFormat="false" ht="15" hidden="false" customHeight="true" outlineLevel="0" collapsed="false">
      <c r="A21" s="17" t="s">
        <v>279</v>
      </c>
    </row>
    <row r="22" customFormat="false" ht="15" hidden="false" customHeight="true" outlineLevel="0" collapsed="false">
      <c r="A22" s="17"/>
    </row>
    <row r="23" customFormat="false" ht="15" hidden="false" customHeight="true" outlineLevel="0" collapsed="false">
      <c r="A23" s="72" t="s">
        <v>280</v>
      </c>
      <c r="B23" s="70" t="s">
        <v>281</v>
      </c>
    </row>
    <row r="24" customFormat="false" ht="15" hidden="false" customHeight="true" outlineLevel="0" collapsed="false">
      <c r="A24" s="17" t="s">
        <v>282</v>
      </c>
    </row>
    <row r="25" customFormat="false" ht="15" hidden="false" customHeight="true" outlineLevel="0" collapsed="false">
      <c r="A25" s="17" t="s">
        <v>283</v>
      </c>
    </row>
    <row r="26" customFormat="false" ht="15" hidden="false" customHeight="true" outlineLevel="0" collapsed="false">
      <c r="A26" s="17" t="s">
        <v>284</v>
      </c>
    </row>
    <row r="27" customFormat="false" ht="15" hidden="false" customHeight="true" outlineLevel="0" collapsed="false">
      <c r="A27" s="17"/>
    </row>
    <row r="28" customFormat="false" ht="15" hidden="false" customHeight="true" outlineLevel="0" collapsed="false">
      <c r="A28" s="69" t="s">
        <v>285</v>
      </c>
    </row>
    <row r="29" customFormat="false" ht="15" hidden="false" customHeight="true" outlineLevel="0" collapsed="false">
      <c r="A29" s="17" t="s">
        <v>286</v>
      </c>
    </row>
    <row r="30" customFormat="false" ht="15" hidden="false" customHeight="true" outlineLevel="0" collapsed="false">
      <c r="A30" s="17" t="s">
        <v>287</v>
      </c>
    </row>
    <row r="31" customFormat="false" ht="15" hidden="false" customHeight="true" outlineLevel="0" collapsed="false">
      <c r="A31" s="17" t="s">
        <v>288</v>
      </c>
    </row>
    <row r="32" customFormat="false" ht="15" hidden="false" customHeight="true" outlineLevel="0" collapsed="false">
      <c r="A32" s="17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2026-02-28T11:04:07Z</dcterms:created>
  <dc:creator>openpyxl</dc:creator>
  <dc:description/>
  <dc:language>en-US</dc:language>
  <cp:lastModifiedBy/>
  <dcterms:modified xsi:type="dcterms:W3CDTF">2026-02-28T11:34:39Z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